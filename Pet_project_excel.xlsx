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Арт\Documents\"/>
    </mc:Choice>
  </mc:AlternateContent>
  <bookViews>
    <workbookView xWindow="0" yWindow="0" windowWidth="19200" windowHeight="6970" activeTab="2"/>
  </bookViews>
  <sheets>
    <sheet name="DataSet" sheetId="1" r:id="rId1"/>
    <sheet name="Analysis" sheetId="5" r:id="rId2"/>
    <sheet name="PivotTables" sheetId="3" r:id="rId3"/>
    <sheet name="Charts" sheetId="4" r:id="rId4"/>
  </sheets>
  <definedNames>
    <definedName name="Eurovision_AllFinals" localSheetId="0">DataSet!$A$1:$H$1360</definedName>
    <definedName name="Срез_Country">#N/A</definedName>
    <definedName name="Срез_Type">#N/A</definedName>
    <definedName name="Срез_Year">#N/A</definedName>
  </definedNames>
  <calcPr calcId="152511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5" l="1"/>
  <c r="B13" i="5"/>
  <c r="B8" i="5"/>
  <c r="B15" i="5" l="1"/>
  <c r="B14" i="5"/>
  <c r="B12" i="5"/>
  <c r="B11" i="5"/>
  <c r="B10" i="5"/>
  <c r="B7" i="5"/>
  <c r="B6" i="5"/>
  <c r="B5" i="5"/>
  <c r="B4" i="5"/>
  <c r="B3" i="5"/>
</calcChain>
</file>

<file path=xl/connections.xml><?xml version="1.0" encoding="utf-8"?>
<connections xmlns="http://schemas.openxmlformats.org/spreadsheetml/2006/main">
  <connection id="1" name="Eurovision_AllFinals" type="6" refreshedVersion="5" background="1" saveData="1">
    <textPr sourceFile="C:\Users\Арт\Downloads\Eurovision_AllFinals.csv" decimal="," thousands=" " comma="1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<sst xmlns="http://schemas.openxmlformats.org/spreadsheetml/2006/main" count="5980" uniqueCount="2993">
  <si>
    <t>Country</t>
  </si>
  <si>
    <t>Year</t>
  </si>
  <si>
    <t>Type</t>
  </si>
  <si>
    <t>Points</t>
  </si>
  <si>
    <t>Place</t>
  </si>
  <si>
    <t>Draw</t>
  </si>
  <si>
    <t>Performer</t>
  </si>
  <si>
    <t>Song</t>
  </si>
  <si>
    <t>Albania</t>
  </si>
  <si>
    <t>F</t>
  </si>
  <si>
    <t>7 (24)</t>
  </si>
  <si>
    <t>Anjeza Shahini</t>
  </si>
  <si>
    <t>The Image Of You</t>
  </si>
  <si>
    <t>16 (24)</t>
  </si>
  <si>
    <t>Ledina Celo</t>
  </si>
  <si>
    <t>Tomorrow I Go</t>
  </si>
  <si>
    <t>17 (25)</t>
  </si>
  <si>
    <t>Olta Boka</t>
  </si>
  <si>
    <t>Zemrлn E Lamл Peng</t>
  </si>
  <si>
    <t>Kejsi Tola</t>
  </si>
  <si>
    <t>Carry Me In Your Dreams</t>
  </si>
  <si>
    <t>16 (25)</t>
  </si>
  <si>
    <t>Juliana Pasha</t>
  </si>
  <si>
    <t>It's All About You</t>
  </si>
  <si>
    <t>5 (26)</t>
  </si>
  <si>
    <t>Rona Nishliu</t>
  </si>
  <si>
    <t>Suus</t>
  </si>
  <si>
    <t>17 (27)</t>
  </si>
  <si>
    <t>Elhaida Dani</t>
  </si>
  <si>
    <t>I'm Alive</t>
  </si>
  <si>
    <t>11 (26)</t>
  </si>
  <si>
    <t>Eugent Bushpepa</t>
  </si>
  <si>
    <t>Mall</t>
  </si>
  <si>
    <t>17 (26)</t>
  </si>
  <si>
    <t>Jonida Maliqi</t>
  </si>
  <si>
    <t>Ktheju tokлs</t>
  </si>
  <si>
    <t>21 (26)</t>
  </si>
  <si>
    <t>Anxhela Peristeri</t>
  </si>
  <si>
    <t>Karma</t>
  </si>
  <si>
    <t>Armenia</t>
  </si>
  <si>
    <t>8 (24)</t>
  </si>
  <si>
    <t>Andrй</t>
  </si>
  <si>
    <t>Without Your Love</t>
  </si>
  <si>
    <t>Hayko</t>
  </si>
  <si>
    <t>Anytime You Need</t>
  </si>
  <si>
    <t>4 (25)</t>
  </si>
  <si>
    <t>Sirusho</t>
  </si>
  <si>
    <t>Qele, Qele</t>
  </si>
  <si>
    <t>10 (25)</t>
  </si>
  <si>
    <t>Inga &amp; Anush</t>
  </si>
  <si>
    <t>Jan Jan</t>
  </si>
  <si>
    <t>7 (25)</t>
  </si>
  <si>
    <t>Eva Rivas</t>
  </si>
  <si>
    <t>Apricot Stone</t>
  </si>
  <si>
    <t>18 (26)</t>
  </si>
  <si>
    <t>Dorians</t>
  </si>
  <si>
    <t>Lonely Planet</t>
  </si>
  <si>
    <t>4 (26)</t>
  </si>
  <si>
    <t>Aram MP3</t>
  </si>
  <si>
    <t>Not Alone</t>
  </si>
  <si>
    <t>16 (27)</t>
  </si>
  <si>
    <t>Genealogy</t>
  </si>
  <si>
    <t>Face The Shadow</t>
  </si>
  <si>
    <t>7 (26)</t>
  </si>
  <si>
    <t>Iveta Mukuchyan</t>
  </si>
  <si>
    <t>LoveWave</t>
  </si>
  <si>
    <t>Artsvik</t>
  </si>
  <si>
    <t>Fly With Me</t>
  </si>
  <si>
    <t>20 (25)</t>
  </si>
  <si>
    <t>Rosa Linn</t>
  </si>
  <si>
    <t>Snap</t>
  </si>
  <si>
    <t>Australia</t>
  </si>
  <si>
    <t>5 (27)</t>
  </si>
  <si>
    <t>Guy Sebastian</t>
  </si>
  <si>
    <t>Tonight Again</t>
  </si>
  <si>
    <t>2 (26)</t>
  </si>
  <si>
    <t>Dami Im</t>
  </si>
  <si>
    <t>Sound Of Silence</t>
  </si>
  <si>
    <t>9 (26)</t>
  </si>
  <si>
    <t>Isaiah</t>
  </si>
  <si>
    <t>Don't Come Easy</t>
  </si>
  <si>
    <t>20 (26)</t>
  </si>
  <si>
    <t>Jessica Mauboy</t>
  </si>
  <si>
    <t>We Got Love</t>
  </si>
  <si>
    <t>Kate Miller-Heidke</t>
  </si>
  <si>
    <t>Zero Gravity</t>
  </si>
  <si>
    <t>15 (25)</t>
  </si>
  <si>
    <t>Sheldon Riley</t>
  </si>
  <si>
    <t>Not The Same</t>
  </si>
  <si>
    <t>Austria</t>
  </si>
  <si>
    <t>10 (10)</t>
  </si>
  <si>
    <t>Bob Martin</t>
  </si>
  <si>
    <t>Wohin, Kleines Pony</t>
  </si>
  <si>
    <t>5 (10)</t>
  </si>
  <si>
    <t>Liane Augustin</t>
  </si>
  <si>
    <t>Die Ganze Welt Braucht Liebe</t>
  </si>
  <si>
    <t>9 (11)</t>
  </si>
  <si>
    <t>Ferry Graf</t>
  </si>
  <si>
    <t>Der K. Und K. Kalypso Aus Wien</t>
  </si>
  <si>
    <t>7 (13)</t>
  </si>
  <si>
    <t>Harry Winter</t>
  </si>
  <si>
    <t>Du Hast Mich So Fasziniert</t>
  </si>
  <si>
    <t>15 (16)</t>
  </si>
  <si>
    <t>Jimmy Makulis</t>
  </si>
  <si>
    <t>Sehnsucht</t>
  </si>
  <si>
    <t>13 (16)</t>
  </si>
  <si>
    <t>Eleonore Schwarz</t>
  </si>
  <si>
    <t>Nur In Der Wiener Luft</t>
  </si>
  <si>
    <t>7 (16)</t>
  </si>
  <si>
    <t>Carmela Corren</t>
  </si>
  <si>
    <t>Vielleicht Geschieht Ein Wunder</t>
  </si>
  <si>
    <t>6 (16)</t>
  </si>
  <si>
    <t>Udo Jьrgens</t>
  </si>
  <si>
    <t>Warum Nur, Warum?</t>
  </si>
  <si>
    <t>4 (18)</t>
  </si>
  <si>
    <t>Sag Ihr, Ich Lass' Sie GrьЯen</t>
  </si>
  <si>
    <t>1 (18)</t>
  </si>
  <si>
    <t>Merci Chйrie</t>
  </si>
  <si>
    <t>14 (17)</t>
  </si>
  <si>
    <t>Peter Horten</t>
  </si>
  <si>
    <t>Warum Es Hunderttausend Sterne Gibt</t>
  </si>
  <si>
    <t>13 (17)</t>
  </si>
  <si>
    <t>Karel Gott</t>
  </si>
  <si>
    <t>Tausend Fenster</t>
  </si>
  <si>
    <t>16 (18)</t>
  </si>
  <si>
    <t>Marianne Mendt</t>
  </si>
  <si>
    <t>Musik</t>
  </si>
  <si>
    <t>5 (18)</t>
  </si>
  <si>
    <t>The Milestones</t>
  </si>
  <si>
    <t>Falter Im Wind</t>
  </si>
  <si>
    <t>Waterloo and Robinson</t>
  </si>
  <si>
    <t>My Little World</t>
  </si>
  <si>
    <t>17 (18)</t>
  </si>
  <si>
    <t>Schmetterlinge</t>
  </si>
  <si>
    <t>Boom Boom Boomerang</t>
  </si>
  <si>
    <t>15 (20)</t>
  </si>
  <si>
    <t>Springtime</t>
  </si>
  <si>
    <t>Mrs. Caroline Robinson</t>
  </si>
  <si>
    <t>18 (19)</t>
  </si>
  <si>
    <t>Christina Simon</t>
  </si>
  <si>
    <t>Heute In Jerusalem</t>
  </si>
  <si>
    <t>8 (19)</t>
  </si>
  <si>
    <t>Blue Danube</t>
  </si>
  <si>
    <t>Du Bist Musik</t>
  </si>
  <si>
    <t>17 (20)</t>
  </si>
  <si>
    <t>Marty Brem</t>
  </si>
  <si>
    <t>Wenn Du Da Bist</t>
  </si>
  <si>
    <t>9 (18)</t>
  </si>
  <si>
    <t>Mess</t>
  </si>
  <si>
    <t>Sonntag</t>
  </si>
  <si>
    <t>9 (20)</t>
  </si>
  <si>
    <t>Westend</t>
  </si>
  <si>
    <t>Hurricane</t>
  </si>
  <si>
    <t>19 (19)</t>
  </si>
  <si>
    <t>Anita</t>
  </si>
  <si>
    <t>Einfach Weg</t>
  </si>
  <si>
    <t>Gary Lux</t>
  </si>
  <si>
    <t>Kinder Dieser Welt</t>
  </si>
  <si>
    <t>18 (20)</t>
  </si>
  <si>
    <t>Timna Brauer</t>
  </si>
  <si>
    <t>Die Zeit Ist Einsam</t>
  </si>
  <si>
    <t>20 (22)</t>
  </si>
  <si>
    <t>Nur Noch Gefьhl</t>
  </si>
  <si>
    <t>21 (21)</t>
  </si>
  <si>
    <t>Wilfried</t>
  </si>
  <si>
    <t>Lisa Mona Lisa</t>
  </si>
  <si>
    <t>5 (22)</t>
  </si>
  <si>
    <t>Thomas Forstner</t>
  </si>
  <si>
    <t>Nur Ein Lied</t>
  </si>
  <si>
    <t>10 (22)</t>
  </si>
  <si>
    <t>Simone</t>
  </si>
  <si>
    <t>Keine Mauern Mehr</t>
  </si>
  <si>
    <t>22 (22)</t>
  </si>
  <si>
    <t>Venedig Im Regen</t>
  </si>
  <si>
    <t>10 (23)</t>
  </si>
  <si>
    <t>Tony Wegas</t>
  </si>
  <si>
    <t>Zusammen Geh'n</t>
  </si>
  <si>
    <t>14 (25)</t>
  </si>
  <si>
    <t>Maria Magdalena</t>
  </si>
  <si>
    <t>Petra Frey</t>
  </si>
  <si>
    <t>Fьr Den Frieden Der Welt</t>
  </si>
  <si>
    <t>13 (23)</t>
  </si>
  <si>
    <t>Stella Jones</t>
  </si>
  <si>
    <t>Die Welt Dreht Sich Verkehrt</t>
  </si>
  <si>
    <t>George NuЯbaumer</t>
  </si>
  <si>
    <t>Weil's Dr Guat Got</t>
  </si>
  <si>
    <t>21 (25)</t>
  </si>
  <si>
    <t>Bettina Soriat</t>
  </si>
  <si>
    <t>One Step</t>
  </si>
  <si>
    <t>Bobbie Singer</t>
  </si>
  <si>
    <t>Reflection</t>
  </si>
  <si>
    <t>14 (24)</t>
  </si>
  <si>
    <t>The rounder girls</t>
  </si>
  <si>
    <t>All To You</t>
  </si>
  <si>
    <t>18 (24)</t>
  </si>
  <si>
    <t>Manuel Ortega</t>
  </si>
  <si>
    <t>Say A Word</t>
  </si>
  <si>
    <t>6 (26)</t>
  </si>
  <si>
    <t>Alf Poier</t>
  </si>
  <si>
    <t>Weil Der Mensch Zдhlt</t>
  </si>
  <si>
    <t>21 (24)</t>
  </si>
  <si>
    <t>Tie Break</t>
  </si>
  <si>
    <t>Du Bist</t>
  </si>
  <si>
    <t>18 (25)</t>
  </si>
  <si>
    <t>Nadine Beiler</t>
  </si>
  <si>
    <t>The Secret Is Love</t>
  </si>
  <si>
    <t>1 (26)</t>
  </si>
  <si>
    <t>Conchita Wurst</t>
  </si>
  <si>
    <t>Rise Like a Phoenix</t>
  </si>
  <si>
    <t>26 (27)</t>
  </si>
  <si>
    <t>The Makemakes</t>
  </si>
  <si>
    <t>I Am Yours</t>
  </si>
  <si>
    <t>13 (26)</t>
  </si>
  <si>
    <t>ZOЛ</t>
  </si>
  <si>
    <t>Loin d'ici</t>
  </si>
  <si>
    <t>16 (26)</t>
  </si>
  <si>
    <t>Nathan Trent</t>
  </si>
  <si>
    <t>Running On Air</t>
  </si>
  <si>
    <t>3 (26)</t>
  </si>
  <si>
    <t>Cesбr Sampson</t>
  </si>
  <si>
    <t>Nobody But You</t>
  </si>
  <si>
    <t>Azerbaijan</t>
  </si>
  <si>
    <t>8 (25)</t>
  </si>
  <si>
    <t>Elnur &amp; Samir</t>
  </si>
  <si>
    <t>Day After Day</t>
  </si>
  <si>
    <t>3 (25)</t>
  </si>
  <si>
    <t>AySel &amp; Arash</t>
  </si>
  <si>
    <t>Always</t>
  </si>
  <si>
    <t>5 (25)</t>
  </si>
  <si>
    <t>Safura</t>
  </si>
  <si>
    <t>Drip Drop</t>
  </si>
  <si>
    <t>1 (25)</t>
  </si>
  <si>
    <t>Ell &amp; Nikki</t>
  </si>
  <si>
    <t>Running Scared</t>
  </si>
  <si>
    <t>Sabina Babayeva</t>
  </si>
  <si>
    <t>When The Music Dies</t>
  </si>
  <si>
    <t>Farid Mammadov</t>
  </si>
  <si>
    <t>Hold Me</t>
  </si>
  <si>
    <t>22 (26)</t>
  </si>
  <si>
    <t>Dilara Kazimova</t>
  </si>
  <si>
    <t>Start A Fire</t>
  </si>
  <si>
    <t>12 (27)</t>
  </si>
  <si>
    <t>Elnur Huseynov</t>
  </si>
  <si>
    <t>Hour Of The Wolf</t>
  </si>
  <si>
    <t>Samra</t>
  </si>
  <si>
    <t>Miracle</t>
  </si>
  <si>
    <t>14 (26)</t>
  </si>
  <si>
    <t>Dihaj</t>
  </si>
  <si>
    <t>Skeletons</t>
  </si>
  <si>
    <t>8 (26)</t>
  </si>
  <si>
    <t>Chingiz</t>
  </si>
  <si>
    <t>Truth</t>
  </si>
  <si>
    <t>Efendi</t>
  </si>
  <si>
    <t>Mata Hari</t>
  </si>
  <si>
    <t>Nadir Rustamli</t>
  </si>
  <si>
    <t>Fade To Black</t>
  </si>
  <si>
    <t>Belarus</t>
  </si>
  <si>
    <t>6 (24)</t>
  </si>
  <si>
    <t>Dmitry Koldun</t>
  </si>
  <si>
    <t>Work Your Magic</t>
  </si>
  <si>
    <t>24 (25)</t>
  </si>
  <si>
    <t>3+2</t>
  </si>
  <si>
    <t>Butterflies</t>
  </si>
  <si>
    <t>Alyona Lanskaya</t>
  </si>
  <si>
    <t>Solayoh</t>
  </si>
  <si>
    <t>Teo</t>
  </si>
  <si>
    <t>Cheesecake</t>
  </si>
  <si>
    <t>Naviband</t>
  </si>
  <si>
    <t>Story of My Life</t>
  </si>
  <si>
    <t>24 (26)</t>
  </si>
  <si>
    <t>ZENA</t>
  </si>
  <si>
    <t>Like It</t>
  </si>
  <si>
    <t>Belgium</t>
  </si>
  <si>
    <t>8 (10)</t>
  </si>
  <si>
    <t>Bobbejaan Schoepen</t>
  </si>
  <si>
    <t>Straatdeuntje</t>
  </si>
  <si>
    <t>Fud Leclerc</t>
  </si>
  <si>
    <t>Ma Petite Chatte</t>
  </si>
  <si>
    <t>6 (11)</t>
  </si>
  <si>
    <t>Bob Benny</t>
  </si>
  <si>
    <t>Hou Toch Van Mij</t>
  </si>
  <si>
    <t>6 (13)</t>
  </si>
  <si>
    <t>Mon Amour Pour Toi</t>
  </si>
  <si>
    <t>September, Gouden Roos</t>
  </si>
  <si>
    <t>Ton Nom</t>
  </si>
  <si>
    <t>10 (16)</t>
  </si>
  <si>
    <t>Jacques Raymond</t>
  </si>
  <si>
    <t>Waarom</t>
  </si>
  <si>
    <t>Robert Cogoi</t>
  </si>
  <si>
    <t>Prиs De Ma Riviиre</t>
  </si>
  <si>
    <t>15 (18)</t>
  </si>
  <si>
    <t>Lize Marke</t>
  </si>
  <si>
    <t>Als Het Weer Lente Is</t>
  </si>
  <si>
    <t>Tonia</t>
  </si>
  <si>
    <t>Un Peu De Poivre, Un Peu De Sel</t>
  </si>
  <si>
    <t>7 (17)</t>
  </si>
  <si>
    <t>Louis Neefs</t>
  </si>
  <si>
    <t>Ik Heb Zorgen</t>
  </si>
  <si>
    <t>Claude Lombard</t>
  </si>
  <si>
    <t>Quand Tu Reviendras</t>
  </si>
  <si>
    <t>Jennifer Jennings</t>
  </si>
  <si>
    <t>8 (12)</t>
  </si>
  <si>
    <t>Jean Vallйe</t>
  </si>
  <si>
    <t>Viens L'oublier</t>
  </si>
  <si>
    <t>14 (18)</t>
  </si>
  <si>
    <t>Lily Castel and Jacques Raymond</t>
  </si>
  <si>
    <t>Goeie Morgen, Morgen</t>
  </si>
  <si>
    <t>Serge and Christine Ghisoland</t>
  </si>
  <si>
    <t>А La Folie Ou Pas Du Tout</t>
  </si>
  <si>
    <t>17 (17)</t>
  </si>
  <si>
    <t>Nicole and Hugo</t>
  </si>
  <si>
    <t>Baby, Baby</t>
  </si>
  <si>
    <t>9 (17)</t>
  </si>
  <si>
    <t>Jacques Hustin</t>
  </si>
  <si>
    <t>Fleur De Libertй</t>
  </si>
  <si>
    <t>15 (19)</t>
  </si>
  <si>
    <t>Ann Christy</t>
  </si>
  <si>
    <t>Gelukkig Zijn</t>
  </si>
  <si>
    <t>8 (18)</t>
  </si>
  <si>
    <t>Pierre Rapsat</t>
  </si>
  <si>
    <t>Judy Et Cie.</t>
  </si>
  <si>
    <t>7 (18)</t>
  </si>
  <si>
    <t>Dream Express</t>
  </si>
  <si>
    <t>A Million In One, Two, Three</t>
  </si>
  <si>
    <t>2 (20)</t>
  </si>
  <si>
    <t>L'amour зa Fait Chanter La Vie</t>
  </si>
  <si>
    <t>Micha Marah</t>
  </si>
  <si>
    <t>Hey Nana</t>
  </si>
  <si>
    <t>17 (19)</t>
  </si>
  <si>
    <t>Telex</t>
  </si>
  <si>
    <t>Euro-vision</t>
  </si>
  <si>
    <t>13 (20)</t>
  </si>
  <si>
    <t>Emly Starr</t>
  </si>
  <si>
    <t>Samson</t>
  </si>
  <si>
    <t>Stella</t>
  </si>
  <si>
    <t>Si Tu Aimes Ma Musique</t>
  </si>
  <si>
    <t>Pas de Deux</t>
  </si>
  <si>
    <t>Rendez-vous</t>
  </si>
  <si>
    <t>5 (19)</t>
  </si>
  <si>
    <t>Jacques Zegers</t>
  </si>
  <si>
    <t>Avanti La Vie</t>
  </si>
  <si>
    <t>Linda Lepomme</t>
  </si>
  <si>
    <t>Laat Me Nu Gaan</t>
  </si>
  <si>
    <t>1 (20)</t>
  </si>
  <si>
    <t>Sandra Kim</t>
  </si>
  <si>
    <t>J'aime La Vie</t>
  </si>
  <si>
    <t>11 (22)</t>
  </si>
  <si>
    <t>Liliane Saint-Pierre</t>
  </si>
  <si>
    <t>Soldiers Of Love</t>
  </si>
  <si>
    <t>18 (21)</t>
  </si>
  <si>
    <t>Reynaert</t>
  </si>
  <si>
    <t>Laissez Briller Le Soleil</t>
  </si>
  <si>
    <t>19 (22)</t>
  </si>
  <si>
    <t>Ingeborg</t>
  </si>
  <si>
    <t>Door De Wind</t>
  </si>
  <si>
    <t>12 (22)</t>
  </si>
  <si>
    <t>Philippe Lafontaine</t>
  </si>
  <si>
    <t>Macйdomienne</t>
  </si>
  <si>
    <t>16 (22)</t>
  </si>
  <si>
    <t>Clouseau</t>
  </si>
  <si>
    <t>Geef Het Op</t>
  </si>
  <si>
    <t>20 (23)</t>
  </si>
  <si>
    <t>Morgane</t>
  </si>
  <si>
    <t>Nous On Veut Des Violons</t>
  </si>
  <si>
    <t>25 (25)</t>
  </si>
  <si>
    <t>Barbara</t>
  </si>
  <si>
    <t>Iemand Als Jij</t>
  </si>
  <si>
    <t>Frйdйric Etherlinck</t>
  </si>
  <si>
    <t>La Voix Est Libre</t>
  </si>
  <si>
    <t>16 (23)</t>
  </si>
  <si>
    <t>Lisa del Bo</t>
  </si>
  <si>
    <t>Liefde Is Een Kaartspel</t>
  </si>
  <si>
    <t>6 (25)</t>
  </si>
  <si>
    <t>Mйlanie Cohl</t>
  </si>
  <si>
    <t>Dis Oui</t>
  </si>
  <si>
    <t>12 (23)</t>
  </si>
  <si>
    <t>Venessa Chinitor</t>
  </si>
  <si>
    <t>Like The Wind</t>
  </si>
  <si>
    <t>24 (24)</t>
  </si>
  <si>
    <t>Nathalie Sorce</t>
  </si>
  <si>
    <t>Envie De Vivre</t>
  </si>
  <si>
    <t>13 (24)</t>
  </si>
  <si>
    <t>Sergio &amp; the Ladies</t>
  </si>
  <si>
    <t>Sister</t>
  </si>
  <si>
    <t>Urban Trad</t>
  </si>
  <si>
    <t>Sanomi</t>
  </si>
  <si>
    <t>22 (24)</t>
  </si>
  <si>
    <t>Xandee</t>
  </si>
  <si>
    <t>1 Life</t>
  </si>
  <si>
    <t>Tom Dice</t>
  </si>
  <si>
    <t>Me And My Guitar</t>
  </si>
  <si>
    <t>12 (26)</t>
  </si>
  <si>
    <t>Roberto Bellarosa</t>
  </si>
  <si>
    <t>Love Kills</t>
  </si>
  <si>
    <t>4 (27)</t>
  </si>
  <si>
    <t>Loпc Nottet</t>
  </si>
  <si>
    <t>Rhythm Inside</t>
  </si>
  <si>
    <t>10 (26)</t>
  </si>
  <si>
    <t>Laura Tesoro</t>
  </si>
  <si>
    <t>What's The Pressure</t>
  </si>
  <si>
    <t>Blanche</t>
  </si>
  <si>
    <t>City Lights</t>
  </si>
  <si>
    <t>19 (26)</t>
  </si>
  <si>
    <t>Hooverphonic</t>
  </si>
  <si>
    <t>The Wrong Place</t>
  </si>
  <si>
    <t>19 (25)</t>
  </si>
  <si>
    <t>Jйrйmie Makiese</t>
  </si>
  <si>
    <t>Miss You</t>
  </si>
  <si>
    <t>Bosnia Herzegovina</t>
  </si>
  <si>
    <t>Fazla</t>
  </si>
  <si>
    <t>Sva Bol Svijeta</t>
  </si>
  <si>
    <t>Alma and Dejan</t>
  </si>
  <si>
    <t>Ostani Kraj Mene</t>
  </si>
  <si>
    <t>19 (23)</t>
  </si>
  <si>
    <t>Davor Popovic</t>
  </si>
  <si>
    <t>Dvadeset I Prvi Vijek</t>
  </si>
  <si>
    <t>22 (23)</t>
  </si>
  <si>
    <t>Amila Glamocak</t>
  </si>
  <si>
    <t>Za Naљu Ljubav</t>
  </si>
  <si>
    <t>Alma Cardzic</t>
  </si>
  <si>
    <t>Goodbye</t>
  </si>
  <si>
    <t>7 (23)</t>
  </si>
  <si>
    <t>Dino and Beatrice</t>
  </si>
  <si>
    <t>Putnici</t>
  </si>
  <si>
    <t>14 (23)</t>
  </si>
  <si>
    <t>Nino</t>
  </si>
  <si>
    <t>Hano</t>
  </si>
  <si>
    <t>Maja</t>
  </si>
  <si>
    <t>Na Jastuku Za Dvoje</t>
  </si>
  <si>
    <t>Mija Martina</t>
  </si>
  <si>
    <t>Ne Brini</t>
  </si>
  <si>
    <t>9 (24)</t>
  </si>
  <si>
    <t>Deen</t>
  </si>
  <si>
    <t>In The Disco</t>
  </si>
  <si>
    <t>Feminnem</t>
  </si>
  <si>
    <t>Call Me</t>
  </si>
  <si>
    <t>3 (24)</t>
  </si>
  <si>
    <t>Hari Mata Hari</t>
  </si>
  <si>
    <t>Lejla</t>
  </si>
  <si>
    <t>11 (24)</t>
  </si>
  <si>
    <t>Marija Sestic</t>
  </si>
  <si>
    <t>Rijeka Bez Imena</t>
  </si>
  <si>
    <t>Laka</t>
  </si>
  <si>
    <t>Pokuљaj</t>
  </si>
  <si>
    <t>9 (25)</t>
  </si>
  <si>
    <t>Regina</t>
  </si>
  <si>
    <t>Bistra Voda</t>
  </si>
  <si>
    <t>Vukaљin Braji?</t>
  </si>
  <si>
    <t>Thunder And Lightning</t>
  </si>
  <si>
    <t>Dino Merlin</t>
  </si>
  <si>
    <t>Love In Rewind</t>
  </si>
  <si>
    <t>Maya Sar</t>
  </si>
  <si>
    <t>Korake ti znam</t>
  </si>
  <si>
    <t>Bulgaria</t>
  </si>
  <si>
    <t>5 (24)</t>
  </si>
  <si>
    <t>Elitsa Todorova &amp; Stoyan Yankulov</t>
  </si>
  <si>
    <t>Water</t>
  </si>
  <si>
    <t>Poli Genova</t>
  </si>
  <si>
    <t>If Love Was A Crime</t>
  </si>
  <si>
    <t>Kristian Kostov</t>
  </si>
  <si>
    <t>Beautiful Mess</t>
  </si>
  <si>
    <t>EQUINOX</t>
  </si>
  <si>
    <t>Bones</t>
  </si>
  <si>
    <t>VICTORIA</t>
  </si>
  <si>
    <t>Growing Up Is Getting Old</t>
  </si>
  <si>
    <t>Croatia</t>
  </si>
  <si>
    <t>Put</t>
  </si>
  <si>
    <t>Don't Ever Cry</t>
  </si>
  <si>
    <t>Tony Cetinski</t>
  </si>
  <si>
    <t>Nek'ti Bude Ljubav Sva</t>
  </si>
  <si>
    <t>6 (23)</t>
  </si>
  <si>
    <t>Magazin and Lidija</t>
  </si>
  <si>
    <t>Nostalgija</t>
  </si>
  <si>
    <t>4 (23)</t>
  </si>
  <si>
    <t>Maja Blagdan</t>
  </si>
  <si>
    <t>Sveta Ljubav</t>
  </si>
  <si>
    <t>ENI</t>
  </si>
  <si>
    <t>Probudi Me</t>
  </si>
  <si>
    <t>Danijela</t>
  </si>
  <si>
    <t>Neka Mi Ne Svane</t>
  </si>
  <si>
    <t>Doris Dragovic</t>
  </si>
  <si>
    <t>Marija Magdalena</t>
  </si>
  <si>
    <t>Goran Karan</t>
  </si>
  <si>
    <t>Kada Zaspu Andeli</t>
  </si>
  <si>
    <t>Vanna</t>
  </si>
  <si>
    <t>Strings Of My Heart</t>
  </si>
  <si>
    <t>Vesna Pisarovic</t>
  </si>
  <si>
    <t>Everything I Want</t>
  </si>
  <si>
    <t>15 (26)</t>
  </si>
  <si>
    <t>Claudia Beni</t>
  </si>
  <si>
    <t>Vise Nisam Tvoja</t>
  </si>
  <si>
    <t>12 (24)</t>
  </si>
  <si>
    <t>Ivan Mikulic</t>
  </si>
  <si>
    <t>You Are The Only One</t>
  </si>
  <si>
    <t>Boris Novkovic feat. Lado members</t>
  </si>
  <si>
    <t>Vukovi Umiru Sami</t>
  </si>
  <si>
    <t>Severina</t>
  </si>
  <si>
    <t>Moja Stikla</t>
  </si>
  <si>
    <t>Kraljevi Ulice &amp; 75 Cents</t>
  </si>
  <si>
    <t>Romanca</t>
  </si>
  <si>
    <t>Igor Cukrov feat. Andrea</t>
  </si>
  <si>
    <t>Lijepa Tena</t>
  </si>
  <si>
    <t>23 (26)</t>
  </si>
  <si>
    <t>Nina Kralji?</t>
  </si>
  <si>
    <t>Lighthouse</t>
  </si>
  <si>
    <t>Jacques Houdek</t>
  </si>
  <si>
    <t>My Friend</t>
  </si>
  <si>
    <t>Cyprus</t>
  </si>
  <si>
    <t>6 (20)</t>
  </si>
  <si>
    <t>Island</t>
  </si>
  <si>
    <t>Monika</t>
  </si>
  <si>
    <t>Anna Vissi</t>
  </si>
  <si>
    <t>Mono I Agapi</t>
  </si>
  <si>
    <t>16 (20)</t>
  </si>
  <si>
    <t>Stavros and Constantina</t>
  </si>
  <si>
    <t>I Agapi Akoma Zi</t>
  </si>
  <si>
    <t>Andy Paul</t>
  </si>
  <si>
    <t>Anna Mari-elena</t>
  </si>
  <si>
    <t>16 (19)</t>
  </si>
  <si>
    <t>Lia Vissi</t>
  </si>
  <si>
    <t>To Katalava Arga</t>
  </si>
  <si>
    <t>20 (20)</t>
  </si>
  <si>
    <t>Elpida</t>
  </si>
  <si>
    <t>Tora Zo</t>
  </si>
  <si>
    <t>7 (22)</t>
  </si>
  <si>
    <t>Alexia</t>
  </si>
  <si>
    <t>Aspro Mavro</t>
  </si>
  <si>
    <t>Fanny Polymeri and Yiannis Savvidakis</t>
  </si>
  <si>
    <t>Apopse As Vrethoume</t>
  </si>
  <si>
    <t>14 (22)</t>
  </si>
  <si>
    <t>Haris Anastasiou</t>
  </si>
  <si>
    <t>Milas Poli</t>
  </si>
  <si>
    <t>9 (22)</t>
  </si>
  <si>
    <t>Elena Patroclou</t>
  </si>
  <si>
    <t>S.o.s.</t>
  </si>
  <si>
    <t>11 (23)</t>
  </si>
  <si>
    <t>Evridiki</t>
  </si>
  <si>
    <t>Teriazoume</t>
  </si>
  <si>
    <t>Kyriakos Zymboulakis and Demos Van Beke</t>
  </si>
  <si>
    <t>Mi Stamatas</t>
  </si>
  <si>
    <t>11 (25)</t>
  </si>
  <si>
    <t>Ime Anthropos Ke Ego</t>
  </si>
  <si>
    <t>9 (23)</t>
  </si>
  <si>
    <t>Alexandros Panayi</t>
  </si>
  <si>
    <t>Sti Fotia</t>
  </si>
  <si>
    <t>Constantinos</t>
  </si>
  <si>
    <t>Mono Gia Mas</t>
  </si>
  <si>
    <t>Chara and Andreas Konstantinou</t>
  </si>
  <si>
    <t>Mana Mou</t>
  </si>
  <si>
    <t>Michael Hajiyanni</t>
  </si>
  <si>
    <t>Genesis</t>
  </si>
  <si>
    <t>Marlain Angelidou</t>
  </si>
  <si>
    <t>Tha'nai Erotas</t>
  </si>
  <si>
    <t>Voice</t>
  </si>
  <si>
    <t>Nomiza</t>
  </si>
  <si>
    <t>One</t>
  </si>
  <si>
    <t>Gimme</t>
  </si>
  <si>
    <t>Stelios Constantas</t>
  </si>
  <si>
    <t>Feeling Alive</t>
  </si>
  <si>
    <t>Lisa Andreas</t>
  </si>
  <si>
    <t>Stronger Every Minute</t>
  </si>
  <si>
    <t>Constantinos Christoforou</t>
  </si>
  <si>
    <t>Ela Ela</t>
  </si>
  <si>
    <t>Jon Lilygreen &amp; The Islanders</t>
  </si>
  <si>
    <t>Life Looks Better In Spring</t>
  </si>
  <si>
    <t>Ivi Adamou</t>
  </si>
  <si>
    <t>La La Love</t>
  </si>
  <si>
    <t>22 (27)</t>
  </si>
  <si>
    <t>John Karayiannis</t>
  </si>
  <si>
    <t>One Thing I Should Have Done</t>
  </si>
  <si>
    <t>Minus One</t>
  </si>
  <si>
    <t>Alter Ego</t>
  </si>
  <si>
    <t>Hovig</t>
  </si>
  <si>
    <t>Gravity</t>
  </si>
  <si>
    <t>Eleni Foureira</t>
  </si>
  <si>
    <t>Fuego</t>
  </si>
  <si>
    <t>Tamta</t>
  </si>
  <si>
    <t>Replay</t>
  </si>
  <si>
    <t>Elena Tsagrinou</t>
  </si>
  <si>
    <t>El Diablo</t>
  </si>
  <si>
    <t>Czech Republic</t>
  </si>
  <si>
    <t>25 (26)</t>
  </si>
  <si>
    <t>Gabriela Gun?нkovб</t>
  </si>
  <si>
    <t>I Stand</t>
  </si>
  <si>
    <t>Mikolas Josef</t>
  </si>
  <si>
    <t>Lie To Me</t>
  </si>
  <si>
    <t>Lake Malawi</t>
  </si>
  <si>
    <t>Friend of a Friend</t>
  </si>
  <si>
    <t>22 (25)</t>
  </si>
  <si>
    <t>We Are Domi</t>
  </si>
  <si>
    <t>Lights Off</t>
  </si>
  <si>
    <t>Denmark</t>
  </si>
  <si>
    <t>3 (10)</t>
  </si>
  <si>
    <t>Birthe Wilke and Gustav Winckler</t>
  </si>
  <si>
    <t>Skibet Skal Sejle I Nat</t>
  </si>
  <si>
    <t>Raquel Rastenni</t>
  </si>
  <si>
    <t>Jeg Rev Et Blad Ud Af Min Dagbog</t>
  </si>
  <si>
    <t>5 (11)</t>
  </si>
  <si>
    <t>Birthe Wilke</t>
  </si>
  <si>
    <t>Uh-jeg Ville Шnske Jeg Var Dig</t>
  </si>
  <si>
    <t>10 (13)</t>
  </si>
  <si>
    <t>Katy Bшdtger</t>
  </si>
  <si>
    <t>Det Var En Yndig Tid</t>
  </si>
  <si>
    <t>5 (16)</t>
  </si>
  <si>
    <t>Dario Campeotto</t>
  </si>
  <si>
    <t>Angelique</t>
  </si>
  <si>
    <t>Ellen Winther</t>
  </si>
  <si>
    <t>Vuggevise</t>
  </si>
  <si>
    <t>1 (16)</t>
  </si>
  <si>
    <t>Grethe and Jшrgen Ingmann</t>
  </si>
  <si>
    <t>Dansevise</t>
  </si>
  <si>
    <t>9 (16)</t>
  </si>
  <si>
    <t>Bjшrn Tidmand</t>
  </si>
  <si>
    <t>Sangen Om Dig</t>
  </si>
  <si>
    <t>Birgit Brьel</t>
  </si>
  <si>
    <t>For Din Skyld</t>
  </si>
  <si>
    <t>Ulla Pia</t>
  </si>
  <si>
    <t>Stop, Ja Stop - Ja Stop, Mens Legen Er Go</t>
  </si>
  <si>
    <t>Mabel</t>
  </si>
  <si>
    <t>Boom Boom</t>
  </si>
  <si>
    <t>6 (19)</t>
  </si>
  <si>
    <t>Tommy Seebach</t>
  </si>
  <si>
    <t>Disco Tango</t>
  </si>
  <si>
    <t>14 (19)</t>
  </si>
  <si>
    <t>Bamses Venner</t>
  </si>
  <si>
    <t>Tжnker Altid Pе Dig</t>
  </si>
  <si>
    <t>11 (20)</t>
  </si>
  <si>
    <t>Debbie Cameron and Tommy Seebach</t>
  </si>
  <si>
    <t>Krшller Eller Ej</t>
  </si>
  <si>
    <t>Brixx</t>
  </si>
  <si>
    <t>Video-video</t>
  </si>
  <si>
    <t>Gry Johansen</t>
  </si>
  <si>
    <t>Kloden Drejer</t>
  </si>
  <si>
    <t>4 (19)</t>
  </si>
  <si>
    <t>Hot Eyes</t>
  </si>
  <si>
    <t>Det' Lige Det</t>
  </si>
  <si>
    <t>11 (19)</t>
  </si>
  <si>
    <t>Sku' Du Spшr Fra No'n</t>
  </si>
  <si>
    <t>Lise Haavik and Trax</t>
  </si>
  <si>
    <t>Du Er Fuld Af Lшgn</t>
  </si>
  <si>
    <t>Anne-Catherine Herdorf and Bandjo</t>
  </si>
  <si>
    <t>En Lille Melodi</t>
  </si>
  <si>
    <t>3 (21)</t>
  </si>
  <si>
    <t>Ka' Du Se Hva' Jeg Sa'</t>
  </si>
  <si>
    <t>3 (22)</t>
  </si>
  <si>
    <t>Birthe Kjжr</t>
  </si>
  <si>
    <t>Vi Maler Byen Rшd</t>
  </si>
  <si>
    <t>8 (22)</t>
  </si>
  <si>
    <t>Lonnie Devantier</t>
  </si>
  <si>
    <t>Hallo Hallo</t>
  </si>
  <si>
    <t>Anders Frandsen</t>
  </si>
  <si>
    <t>Lige Der Hvor Hjertet Slеr</t>
  </si>
  <si>
    <t>Lotte Nilsson and Kenny Lьbcke</t>
  </si>
  <si>
    <t>Еlt Det Som Ingen Ser</t>
  </si>
  <si>
    <t>Tommy Seebach Band</t>
  </si>
  <si>
    <t>Under Stjernerne Pе Himlen</t>
  </si>
  <si>
    <t>5 (23)</t>
  </si>
  <si>
    <t>Aud Wilken</t>
  </si>
  <si>
    <t>Fra Mols Til Skagen</t>
  </si>
  <si>
    <t>Kшlig Kaj</t>
  </si>
  <si>
    <t>Stemmen I Mit Liv</t>
  </si>
  <si>
    <t>8 (23)</t>
  </si>
  <si>
    <t>Trine Jepsen &amp; Michael Teschl</t>
  </si>
  <si>
    <t>This Time (i Mean It)</t>
  </si>
  <si>
    <t>1 (24)</t>
  </si>
  <si>
    <t>Olsen brothers</t>
  </si>
  <si>
    <t>Fly On The Wings Of Love</t>
  </si>
  <si>
    <t>2 (23)</t>
  </si>
  <si>
    <t>Rollo &amp; King</t>
  </si>
  <si>
    <t>Never Ever Let You Go</t>
  </si>
  <si>
    <t>Malene</t>
  </si>
  <si>
    <t>Tell Me Who You Are</t>
  </si>
  <si>
    <t>Jakob Sveistrup</t>
  </si>
  <si>
    <t>Talking To You</t>
  </si>
  <si>
    <t>Sidsel Ben Semmane</t>
  </si>
  <si>
    <t>Twist Of Love</t>
  </si>
  <si>
    <t>Simon Mathew</t>
  </si>
  <si>
    <t>All Night Long</t>
  </si>
  <si>
    <t>13 (25)</t>
  </si>
  <si>
    <t>Brinck</t>
  </si>
  <si>
    <t>Believe Again</t>
  </si>
  <si>
    <t>Chanйe &amp; N'evergreen</t>
  </si>
  <si>
    <t>In A Moment Like This</t>
  </si>
  <si>
    <t>A Friend In London</t>
  </si>
  <si>
    <t>New Tomorrow</t>
  </si>
  <si>
    <t>Soluna Samay</t>
  </si>
  <si>
    <t>Should've Known Better</t>
  </si>
  <si>
    <t>Emmelie de Forest</t>
  </si>
  <si>
    <t>Only Teardrops</t>
  </si>
  <si>
    <t>Basim</t>
  </si>
  <si>
    <t>Cliche Love Song</t>
  </si>
  <si>
    <t>Anja</t>
  </si>
  <si>
    <t>Where I Am</t>
  </si>
  <si>
    <t>Rasmussen</t>
  </si>
  <si>
    <t>Higher Ground</t>
  </si>
  <si>
    <t>Leonora</t>
  </si>
  <si>
    <t>Love Is Forever</t>
  </si>
  <si>
    <t>Estonia</t>
  </si>
  <si>
    <t>Silvi Vrait</t>
  </si>
  <si>
    <t>Nagu Merelaine</t>
  </si>
  <si>
    <t>Ivo Linna and Maarja-Liis Ilus</t>
  </si>
  <si>
    <t>Kaelakee Hддl</t>
  </si>
  <si>
    <t>Maarja-Liis Ilus</t>
  </si>
  <si>
    <t>Keelatud Maa</t>
  </si>
  <si>
    <t>12 (25)</t>
  </si>
  <si>
    <t>Koit Toome</t>
  </si>
  <si>
    <t>Mere Lapsed</t>
  </si>
  <si>
    <t>Evelin Samuel and Camille</t>
  </si>
  <si>
    <t>Diamond Of Night</t>
  </si>
  <si>
    <t>4 (24)</t>
  </si>
  <si>
    <t>Ines</t>
  </si>
  <si>
    <t>Once In A Lifetime</t>
  </si>
  <si>
    <t>1 (23)</t>
  </si>
  <si>
    <t>Tanel Padar, Dave Benton &amp; 2XL</t>
  </si>
  <si>
    <t>Everybody</t>
  </si>
  <si>
    <t>Sahlйne</t>
  </si>
  <si>
    <t>Runaway</t>
  </si>
  <si>
    <t>Ruffus</t>
  </si>
  <si>
    <t>Eighties Coming Back</t>
  </si>
  <si>
    <t>Urban Symphony</t>
  </si>
  <si>
    <t>Rдndajad</t>
  </si>
  <si>
    <t>Getter Jaani</t>
  </si>
  <si>
    <t>Rockefeller Street</t>
  </si>
  <si>
    <t>Ott Lepland</t>
  </si>
  <si>
    <t>Kuula</t>
  </si>
  <si>
    <t>Birgit</t>
  </si>
  <si>
    <t>Et Uus Saaks Alguse</t>
  </si>
  <si>
    <t>7 (27)</t>
  </si>
  <si>
    <t>Elina Born &amp; Stig Rдsta</t>
  </si>
  <si>
    <t>Goodbye To Yesterday</t>
  </si>
  <si>
    <t>Elina Nechayeva</t>
  </si>
  <si>
    <t>La Forza</t>
  </si>
  <si>
    <t>Victor Crone</t>
  </si>
  <si>
    <t>Storm</t>
  </si>
  <si>
    <t>Stefan</t>
  </si>
  <si>
    <t>Hope</t>
  </si>
  <si>
    <t>Finland</t>
  </si>
  <si>
    <t>Laila Kinnunen</t>
  </si>
  <si>
    <t>Valoa Ikkunassa</t>
  </si>
  <si>
    <t>Marion Rung</t>
  </si>
  <si>
    <t>Tipi-tii</t>
  </si>
  <si>
    <t>Laila Halme</t>
  </si>
  <si>
    <t>Muistojeni Laulu</t>
  </si>
  <si>
    <t>Lasse Mеrtenson</t>
  </si>
  <si>
    <t>Laiskotellen</t>
  </si>
  <si>
    <t>Viktor Klimenko</t>
  </si>
  <si>
    <t>Aurinko Laskee Lдnteen</t>
  </si>
  <si>
    <t>10 (18)</t>
  </si>
  <si>
    <t>Ann-Christine Nystrцm</t>
  </si>
  <si>
    <t>Play-boy</t>
  </si>
  <si>
    <t>12 (17)</t>
  </si>
  <si>
    <t>Fredi</t>
  </si>
  <si>
    <t>Varjoon-suojaan</t>
  </si>
  <si>
    <t>16 (17)</t>
  </si>
  <si>
    <t>Kristina Hautala</t>
  </si>
  <si>
    <t>Kun Kello Kдy</t>
  </si>
  <si>
    <t>12 (16)</t>
  </si>
  <si>
    <t>Jarkko and Laura</t>
  </si>
  <si>
    <t>Kuin Silloin Ennen</t>
  </si>
  <si>
    <t>Markku Aro and Koivisto Sisters</t>
  </si>
  <si>
    <t>Tie Uuteen Pдivддn</t>
  </si>
  <si>
    <t>12 (18)</t>
  </si>
  <si>
    <t>Pдivi Paunu and Kim Floor</t>
  </si>
  <si>
    <t>Muistathan</t>
  </si>
  <si>
    <t>6 (17)</t>
  </si>
  <si>
    <t>Tom Tom Tom</t>
  </si>
  <si>
    <t>Carita</t>
  </si>
  <si>
    <t>Дla Mene Pois (keep Me Warm)</t>
  </si>
  <si>
    <t>7 (19)</t>
  </si>
  <si>
    <t>Pihasoittajat</t>
  </si>
  <si>
    <t>Old Man Fiddle</t>
  </si>
  <si>
    <t>11 (18)</t>
  </si>
  <si>
    <t>Fredi and The Friends</t>
  </si>
  <si>
    <t>Pump-pump</t>
  </si>
  <si>
    <t>Monica Aspelund</t>
  </si>
  <si>
    <t>Lapponia</t>
  </si>
  <si>
    <t>Seija Simola</t>
  </si>
  <si>
    <t>Anna Rakkaudelle Tilaisuus</t>
  </si>
  <si>
    <t>Katri-Helena</t>
  </si>
  <si>
    <t>Katso Sineen Taivaan</t>
  </si>
  <si>
    <t>Vesa-Matti Loiri</t>
  </si>
  <si>
    <t>Huilumies</t>
  </si>
  <si>
    <t>Riki Sorsa</t>
  </si>
  <si>
    <t>Reggae O.k.</t>
  </si>
  <si>
    <t>18 (18)</t>
  </si>
  <si>
    <t>Kojo</t>
  </si>
  <si>
    <t>Nuku Pommiin</t>
  </si>
  <si>
    <t>Ami Aspelund</t>
  </si>
  <si>
    <t>Fantasiaa</t>
  </si>
  <si>
    <t>9 (19)</t>
  </si>
  <si>
    <t>Kirka</t>
  </si>
  <si>
    <t>Hengaillaan</t>
  </si>
  <si>
    <t>Sonja Lumme</t>
  </si>
  <si>
    <t>Elдkццn Elдmд</t>
  </si>
  <si>
    <t>Kari Kuivalainen</t>
  </si>
  <si>
    <t>Pдivд Kahden Ihmisen</t>
  </si>
  <si>
    <t>15 (22)</t>
  </si>
  <si>
    <t>Vicky Rosti</t>
  </si>
  <si>
    <t>Sata Salamaa</t>
  </si>
  <si>
    <t>20 (21)</t>
  </si>
  <si>
    <t>Boulevard</t>
  </si>
  <si>
    <t>Nauravat Silmдt Muistetaan</t>
  </si>
  <si>
    <t>Anneli Saaristo</t>
  </si>
  <si>
    <t>La Dolce Vita</t>
  </si>
  <si>
    <t>21 (22)</t>
  </si>
  <si>
    <t>Beat</t>
  </si>
  <si>
    <t>Fri?</t>
  </si>
  <si>
    <t>Kaija</t>
  </si>
  <si>
    <t>Hullu Yц</t>
  </si>
  <si>
    <t>23 (23)</t>
  </si>
  <si>
    <t>Pave</t>
  </si>
  <si>
    <t>Yamma Yamma</t>
  </si>
  <si>
    <t>Tule Luo</t>
  </si>
  <si>
    <t>CatCat</t>
  </si>
  <si>
    <t>Bye Bye Baby</t>
  </si>
  <si>
    <t>Jasmine</t>
  </si>
  <si>
    <t>Niin Kaunis On Taivas</t>
  </si>
  <si>
    <t>Edea</t>
  </si>
  <si>
    <t>Aava</t>
  </si>
  <si>
    <t>Nina Еstrцm</t>
  </si>
  <si>
    <t>A Little Bit</t>
  </si>
  <si>
    <t>20 (24)</t>
  </si>
  <si>
    <t>Laura</t>
  </si>
  <si>
    <t>Addicted To You</t>
  </si>
  <si>
    <t>Lordi</t>
  </si>
  <si>
    <t>Hard Rock Hallelujah</t>
  </si>
  <si>
    <t>17 (24)</t>
  </si>
  <si>
    <t>Hanna Pakarinen</t>
  </si>
  <si>
    <t>Leave Me Alone</t>
  </si>
  <si>
    <t>Terдsbetoni</t>
  </si>
  <si>
    <t>Missд Miehet Ratsastaa</t>
  </si>
  <si>
    <t>Waldo's People</t>
  </si>
  <si>
    <t>Lose Control</t>
  </si>
  <si>
    <t>Paradise Oskar</t>
  </si>
  <si>
    <t>Da Da Dam</t>
  </si>
  <si>
    <t>Krista Siegfrids</t>
  </si>
  <si>
    <t>Marry Me</t>
  </si>
  <si>
    <t>Softengine</t>
  </si>
  <si>
    <t>Something Better</t>
  </si>
  <si>
    <t>Saara Aalto</t>
  </si>
  <si>
    <t>Monsters</t>
  </si>
  <si>
    <t>Blind Channel</t>
  </si>
  <si>
    <t>Dark Side</t>
  </si>
  <si>
    <t>The Rasmus</t>
  </si>
  <si>
    <t>Jezebel</t>
  </si>
  <si>
    <t>France</t>
  </si>
  <si>
    <t>2 (10)</t>
  </si>
  <si>
    <t>Paule Desjardins</t>
  </si>
  <si>
    <t>La Belle Amour</t>
  </si>
  <si>
    <t>1 (10)</t>
  </si>
  <si>
    <t>Andrй Claveau</t>
  </si>
  <si>
    <t>Dors Mon Amour</t>
  </si>
  <si>
    <t>3 (11)</t>
  </si>
  <si>
    <t>Jean Philippe</t>
  </si>
  <si>
    <t>Oui, Oui, Oui, Oui</t>
  </si>
  <si>
    <t>1 (13)</t>
  </si>
  <si>
    <t>Jacqueline Boyer</t>
  </si>
  <si>
    <t>Tom Pillibi</t>
  </si>
  <si>
    <t>4 (16)</t>
  </si>
  <si>
    <t>Jean-Paul Mauric</t>
  </si>
  <si>
    <t>Printemps (avril Carillonne)</t>
  </si>
  <si>
    <t>Isabelle Aubret</t>
  </si>
  <si>
    <t>Un Premier Amour</t>
  </si>
  <si>
    <t>Alain Barriиre</t>
  </si>
  <si>
    <t>Elle йtait Si Jolie</t>
  </si>
  <si>
    <t>Rachel</t>
  </si>
  <si>
    <t>Le Chant De Mallory</t>
  </si>
  <si>
    <t>3 (18)</t>
  </si>
  <si>
    <t>Guy Mardel</t>
  </si>
  <si>
    <t>N'avoue Jamais</t>
  </si>
  <si>
    <t>Dominique Walter</t>
  </si>
  <si>
    <t>Chez Nous</t>
  </si>
  <si>
    <t>3 (17)</t>
  </si>
  <si>
    <t>Noлlle Cordier</t>
  </si>
  <si>
    <t>Il Doit Faire Beau Lа-bas</t>
  </si>
  <si>
    <t>La Source</t>
  </si>
  <si>
    <t>Frida Boccara</t>
  </si>
  <si>
    <t>Un Jour, Un Enfant</t>
  </si>
  <si>
    <t>4 (12)</t>
  </si>
  <si>
    <t>Guy Bonnet</t>
  </si>
  <si>
    <t>Marie Blanche</t>
  </si>
  <si>
    <t>Serge Lama</t>
  </si>
  <si>
    <t>Un Jardin Sur La Terre</t>
  </si>
  <si>
    <t>Betty Mars</t>
  </si>
  <si>
    <t>Comй-comйdie</t>
  </si>
  <si>
    <t>15 (17)</t>
  </si>
  <si>
    <t>Martine Clйmenceau</t>
  </si>
  <si>
    <t>Sans Toi</t>
  </si>
  <si>
    <t>Nicole Rieu</t>
  </si>
  <si>
    <t>Et Bonjour а Toi L'artiste</t>
  </si>
  <si>
    <t>2 (18)</t>
  </si>
  <si>
    <t>Catherine Ferry</t>
  </si>
  <si>
    <t>Un, Deux, Trois</t>
  </si>
  <si>
    <t>Marie Myriam</t>
  </si>
  <si>
    <t>L'oiseau Et L'enfant</t>
  </si>
  <si>
    <t>3 (20)</t>
  </si>
  <si>
    <t>Joлl Prйvost</t>
  </si>
  <si>
    <t>Il Y Aura Toujours Des Violons</t>
  </si>
  <si>
    <t>3 (19)</t>
  </si>
  <si>
    <t>Anne-Marie David</t>
  </si>
  <si>
    <t>Je Suis L'enfant-soleil</t>
  </si>
  <si>
    <t>Profil</t>
  </si>
  <si>
    <t>Hй, Hй M'sieurs Dames</t>
  </si>
  <si>
    <t>Jean Gabilou</t>
  </si>
  <si>
    <t>Humanahum</t>
  </si>
  <si>
    <t>8 (20)</t>
  </si>
  <si>
    <t>Vivre</t>
  </si>
  <si>
    <t>Annick Thoumazeau</t>
  </si>
  <si>
    <t>Autant D'amoureux Que D'йtoiles</t>
  </si>
  <si>
    <t>10 (19)</t>
  </si>
  <si>
    <t>Roger Bens</t>
  </si>
  <si>
    <t>Femme Dans Ses Rкves Aussi</t>
  </si>
  <si>
    <t>Cocktail Chic</t>
  </si>
  <si>
    <t>Europйennes</t>
  </si>
  <si>
    <t>Christine Minier</t>
  </si>
  <si>
    <t>Les Mots D'amour N'ont Pas De Dimanche</t>
  </si>
  <si>
    <t>10 (21)</t>
  </si>
  <si>
    <t>Gйrard Lenorman</t>
  </si>
  <si>
    <t>Chanteur De Charme</t>
  </si>
  <si>
    <t>Nathalie Pвque</t>
  </si>
  <si>
    <t>J'ai Volй La Vie</t>
  </si>
  <si>
    <t>2 (22)</t>
  </si>
  <si>
    <t>Joelle Ursull</t>
  </si>
  <si>
    <t>White And Black Blues</t>
  </si>
  <si>
    <t>Amina</t>
  </si>
  <si>
    <t>C'est Le Dernier Qui A Parlй Qui A Raison</t>
  </si>
  <si>
    <t>Kali</t>
  </si>
  <si>
    <t>Montй La Riviи</t>
  </si>
  <si>
    <t>Patrick Fiori</t>
  </si>
  <si>
    <t>Mama Corsica</t>
  </si>
  <si>
    <t>Nina Morato</t>
  </si>
  <si>
    <t>Je Suis Un Vrai Garзon</t>
  </si>
  <si>
    <t>Nathalie Santamaria</t>
  </si>
  <si>
    <t>Il Me Donne Rendez-vous</t>
  </si>
  <si>
    <t>Dan Ar Braz et l'Hйritage des Celtes</t>
  </si>
  <si>
    <t>Diwanit Bugale</t>
  </si>
  <si>
    <t>Fanny</t>
  </si>
  <si>
    <t>Sentiments Songes</t>
  </si>
  <si>
    <t>Marie-Line</t>
  </si>
  <si>
    <t>Oщ Aller</t>
  </si>
  <si>
    <t>Nayah</t>
  </si>
  <si>
    <t>Je Veux Donner Ma Voix</t>
  </si>
  <si>
    <t>23 (24)</t>
  </si>
  <si>
    <t>Sofia Mestari</t>
  </si>
  <si>
    <t>On Aura Le Ciel</t>
  </si>
  <si>
    <t>Natasha Saint-Pier</t>
  </si>
  <si>
    <t>Je N'ai Que Mon вme</t>
  </si>
  <si>
    <t>Sandrine Franзois</t>
  </si>
  <si>
    <t>Il Faut Du Temps</t>
  </si>
  <si>
    <t>Louisa Baileche</t>
  </si>
  <si>
    <t>Monts Et Merveilles</t>
  </si>
  <si>
    <t>15 (24)</t>
  </si>
  <si>
    <t>Jonatan Cerrada</t>
  </si>
  <si>
    <t>A Chaque Pas</t>
  </si>
  <si>
    <t>Ortal</t>
  </si>
  <si>
    <t>Chacun Pense а Soi</t>
  </si>
  <si>
    <t>Virginie Pouchin</t>
  </si>
  <si>
    <t>Il йtait Temps</t>
  </si>
  <si>
    <t>Les Fatals Picards</t>
  </si>
  <si>
    <t>L'amour а La Franзaise</t>
  </si>
  <si>
    <t>Sйbastien Tellier</t>
  </si>
  <si>
    <t>Divine</t>
  </si>
  <si>
    <t>Patricia Kaas</t>
  </si>
  <si>
    <t>Et S'il Fallait Le Faire</t>
  </si>
  <si>
    <t>Jessy Matador</t>
  </si>
  <si>
    <t>Alllez Olla Olй</t>
  </si>
  <si>
    <t>Amaury Vassili</t>
  </si>
  <si>
    <t>Sognu</t>
  </si>
  <si>
    <t>Anggun</t>
  </si>
  <si>
    <t>Echo (You And I)</t>
  </si>
  <si>
    <t>Amandine Bourgeois</t>
  </si>
  <si>
    <t>L'enfer Et Moi</t>
  </si>
  <si>
    <t>26 (26)</t>
  </si>
  <si>
    <t>TWIN TWIN</t>
  </si>
  <si>
    <t>Moustache</t>
  </si>
  <si>
    <t>25 (27)</t>
  </si>
  <si>
    <t>Lisa Angell</t>
  </si>
  <si>
    <t>N'oubliez Pas</t>
  </si>
  <si>
    <t>Amir</t>
  </si>
  <si>
    <t>J'ai cherchй</t>
  </si>
  <si>
    <t>Alma</t>
  </si>
  <si>
    <t>Requiem</t>
  </si>
  <si>
    <t>Madame Monsieur</t>
  </si>
  <si>
    <t>Mercy</t>
  </si>
  <si>
    <t>Bilal Hassani</t>
  </si>
  <si>
    <t>Roi</t>
  </si>
  <si>
    <t>Barbara Pravi</t>
  </si>
  <si>
    <t>Voilа</t>
  </si>
  <si>
    <t>Alvan &amp; Ahez</t>
  </si>
  <si>
    <t>Fulenn</t>
  </si>
  <si>
    <t>Georgia</t>
  </si>
  <si>
    <t>Sopho</t>
  </si>
  <si>
    <t>My Story</t>
  </si>
  <si>
    <t>Diana Gurtskaya</t>
  </si>
  <si>
    <t>Peace Will Come</t>
  </si>
  <si>
    <t>Sofia Nizharadze</t>
  </si>
  <si>
    <t>Shine</t>
  </si>
  <si>
    <t>Eldrine</t>
  </si>
  <si>
    <t>One More Day</t>
  </si>
  <si>
    <t>Nodi Tatishvili &amp; Sophie Gelovani</t>
  </si>
  <si>
    <t>Waterfall</t>
  </si>
  <si>
    <t>11 (27)</t>
  </si>
  <si>
    <t>Nina Sublatti</t>
  </si>
  <si>
    <t>Warrior</t>
  </si>
  <si>
    <t>Nika Kocharov and Young Georgian Lolitaz</t>
  </si>
  <si>
    <t>Midnight Gold</t>
  </si>
  <si>
    <t>Germany</t>
  </si>
  <si>
    <t>4 (10)</t>
  </si>
  <si>
    <t>Margot Hielscher</t>
  </si>
  <si>
    <t>Telefon, Telefon</t>
  </si>
  <si>
    <t>7 (10)</t>
  </si>
  <si>
    <t>Fьr Zwei Groschen Musik</t>
  </si>
  <si>
    <t>8 (11)</t>
  </si>
  <si>
    <t>Alice and Ellen Kessler</t>
  </si>
  <si>
    <t>Heut' Woll'n Wir Tanzen Geh'n</t>
  </si>
  <si>
    <t>4 (13)</t>
  </si>
  <si>
    <t>Wyn Hoop</t>
  </si>
  <si>
    <t>Bonne Nuit, Ma Chйrie!</t>
  </si>
  <si>
    <t>Lale Andersen</t>
  </si>
  <si>
    <t>Einmal Sehen Wir Uns Wieder</t>
  </si>
  <si>
    <t>Conny Froboess</t>
  </si>
  <si>
    <t>Zwei Kleine Italiener</t>
  </si>
  <si>
    <t>Heidi Brьhl</t>
  </si>
  <si>
    <t>Marcel</t>
  </si>
  <si>
    <t>Nora Nova</t>
  </si>
  <si>
    <t>Man Gewцhnt Sich So Schnell An Das Schцne</t>
  </si>
  <si>
    <t>Ulla Wiesner</t>
  </si>
  <si>
    <t>Paradies, Wo Bist Du?</t>
  </si>
  <si>
    <t>Margot Eskens</t>
  </si>
  <si>
    <t>Die Zeiger Der Uhr</t>
  </si>
  <si>
    <t>8 (17)</t>
  </si>
  <si>
    <t>Inge Brьck</t>
  </si>
  <si>
    <t>Anouschka</t>
  </si>
  <si>
    <t>Wencke Myhre</t>
  </si>
  <si>
    <t>Ein Hoch Der Liebe</t>
  </si>
  <si>
    <t>Siw Malmkvist</t>
  </si>
  <si>
    <t>Primaballerina</t>
  </si>
  <si>
    <t>3 (12)</t>
  </si>
  <si>
    <t>Katja Ebstein</t>
  </si>
  <si>
    <t>Wunder Gibt Es Immer Wieder</t>
  </si>
  <si>
    <t>Diese Welt</t>
  </si>
  <si>
    <t>Mary Roos</t>
  </si>
  <si>
    <t>Nur Die Liebe LдЯt Uns Leben</t>
  </si>
  <si>
    <t>Gitte</t>
  </si>
  <si>
    <t>Junger Tag</t>
  </si>
  <si>
    <t>Cindy und Bert</t>
  </si>
  <si>
    <t>Die Sommermelodie</t>
  </si>
  <si>
    <t>Joy Fleming</t>
  </si>
  <si>
    <t>Ein Lied Kann Eine Brьcke Sein</t>
  </si>
  <si>
    <t>Les Humphries Singers</t>
  </si>
  <si>
    <t>Sing, Sang, Song</t>
  </si>
  <si>
    <t>Silver Convention</t>
  </si>
  <si>
    <t>Telegram</t>
  </si>
  <si>
    <t>Ireen Sheer</t>
  </si>
  <si>
    <t>Feuer</t>
  </si>
  <si>
    <t>Dschinghis Khan</t>
  </si>
  <si>
    <t>2 (19)</t>
  </si>
  <si>
    <t>Theater</t>
  </si>
  <si>
    <t>Lena Valaitis</t>
  </si>
  <si>
    <t>Johnny Blue</t>
  </si>
  <si>
    <t>Nicole</t>
  </si>
  <si>
    <t>Ein BiЯchen Frieden</t>
  </si>
  <si>
    <t>5 (20)</t>
  </si>
  <si>
    <t>Hoffmann und Hoffmann</t>
  </si>
  <si>
    <t>Rьcksicht</t>
  </si>
  <si>
    <t>13 (19)</t>
  </si>
  <si>
    <t>Aufrecht Geh'n</t>
  </si>
  <si>
    <t>Wind</t>
  </si>
  <si>
    <t>Fьr Alle</t>
  </si>
  <si>
    <t>Ingrid Peters</t>
  </si>
  <si>
    <t>Ьber Die Brьcke Geh'n</t>
  </si>
  <si>
    <t>LaЯ Die Sonne In Dein Herz</t>
  </si>
  <si>
    <t>14 (21)</t>
  </si>
  <si>
    <t>Maxi and Chris Garden</t>
  </si>
  <si>
    <t>Lied Fьr Einen Freund</t>
  </si>
  <si>
    <t>Nino de Angelo</t>
  </si>
  <si>
    <t>Flieger</t>
  </si>
  <si>
    <t>Chris Kempers and Daniel Kovac</t>
  </si>
  <si>
    <t>Frei Zu Leben</t>
  </si>
  <si>
    <t>18 (22)</t>
  </si>
  <si>
    <t>Atlantis 2000</t>
  </si>
  <si>
    <t>Dieser Traum Darf Niemals Sterben</t>
  </si>
  <si>
    <t>Trдume Sind Fьr Alle Da</t>
  </si>
  <si>
    <t>Mьnchener Freiheit</t>
  </si>
  <si>
    <t>Viel Zu Weit</t>
  </si>
  <si>
    <t>MeKaDo</t>
  </si>
  <si>
    <t>Wir Geben 'ne Party</t>
  </si>
  <si>
    <t>Stone and Stone</t>
  </si>
  <si>
    <t>Verliebt In Dich</t>
  </si>
  <si>
    <t>Bianca Shomburg</t>
  </si>
  <si>
    <t>Zeit</t>
  </si>
  <si>
    <t>Guildo Horn</t>
  </si>
  <si>
    <t>Guildo Hat Euch Lieb</t>
  </si>
  <si>
    <t>3 (23)</t>
  </si>
  <si>
    <t>Sьrpriz</t>
  </si>
  <si>
    <t>Reise Nach Jerusalem - Kudьs'e Seyahat</t>
  </si>
  <si>
    <t>Stefan Raab</t>
  </si>
  <si>
    <t>Wadde Hadde Dudde Da</t>
  </si>
  <si>
    <t>Michelle</t>
  </si>
  <si>
    <t>Wer Liebe Lebt</t>
  </si>
  <si>
    <t>Corinna May</t>
  </si>
  <si>
    <t>I Can't Live Without Music</t>
  </si>
  <si>
    <t>Lou</t>
  </si>
  <si>
    <t>Let's Get Happy</t>
  </si>
  <si>
    <t>Max (Maximilian Mutzke)</t>
  </si>
  <si>
    <t>Can't Wait Until Tonight</t>
  </si>
  <si>
    <t>Gracia</t>
  </si>
  <si>
    <t>Run &amp; Hide</t>
  </si>
  <si>
    <t>Texas Lightning</t>
  </si>
  <si>
    <t>No, No, Never</t>
  </si>
  <si>
    <t>19 (24)</t>
  </si>
  <si>
    <t>Roger Cicero</t>
  </si>
  <si>
    <t>Frauen Regieren Die Welt</t>
  </si>
  <si>
    <t>23 (25)</t>
  </si>
  <si>
    <t>No Angels</t>
  </si>
  <si>
    <t>Disappear</t>
  </si>
  <si>
    <t>Alex Swings Oscar Sings!</t>
  </si>
  <si>
    <t>Miss Kiss Kiss Bang</t>
  </si>
  <si>
    <t>Lena</t>
  </si>
  <si>
    <t>Satellite</t>
  </si>
  <si>
    <t>Taken By A Stranger</t>
  </si>
  <si>
    <t>Roman Lob</t>
  </si>
  <si>
    <t>Standing Still</t>
  </si>
  <si>
    <t>Cascada</t>
  </si>
  <si>
    <t>Glorious</t>
  </si>
  <si>
    <t>Elaiza</t>
  </si>
  <si>
    <t>Is it right</t>
  </si>
  <si>
    <t>27 (27)</t>
  </si>
  <si>
    <t>Ann Sophie</t>
  </si>
  <si>
    <t>Black Smoke</t>
  </si>
  <si>
    <t>Jamie-Lee</t>
  </si>
  <si>
    <t>Ghost</t>
  </si>
  <si>
    <t>Levina</t>
  </si>
  <si>
    <t>Perfect Life</t>
  </si>
  <si>
    <t>Michael Schulte</t>
  </si>
  <si>
    <t>You Let Me Walk Alone</t>
  </si>
  <si>
    <t>S!sters</t>
  </si>
  <si>
    <t>Jendrik</t>
  </si>
  <si>
    <t>I Don't Feel Hate</t>
  </si>
  <si>
    <t>Malik Harris</t>
  </si>
  <si>
    <t>Rockstars</t>
  </si>
  <si>
    <t>Greece</t>
  </si>
  <si>
    <t>11 (17)</t>
  </si>
  <si>
    <t>Marinella</t>
  </si>
  <si>
    <t>Krassi, Thalassa Ke T'agori Mou</t>
  </si>
  <si>
    <t>13 (18)</t>
  </si>
  <si>
    <t>Mariza Koch</t>
  </si>
  <si>
    <t>Panaghia Mou, Panaghia Mou</t>
  </si>
  <si>
    <t>Pascalis, Marianna, Robert and Bessy</t>
  </si>
  <si>
    <t>Mathema Solfege</t>
  </si>
  <si>
    <t>Tania Tsanaklidou</t>
  </si>
  <si>
    <t>Charlie Chaplin</t>
  </si>
  <si>
    <t>Socrates</t>
  </si>
  <si>
    <t>Anna Vissi and the Epikouri</t>
  </si>
  <si>
    <t>Autostop</t>
  </si>
  <si>
    <t>Yiannis Dimitras</t>
  </si>
  <si>
    <t>Feggari Kalokerino</t>
  </si>
  <si>
    <t>14 (20)</t>
  </si>
  <si>
    <t>Christie</t>
  </si>
  <si>
    <t>Mou Les</t>
  </si>
  <si>
    <t>Takis Biniaris</t>
  </si>
  <si>
    <t>Miazoume</t>
  </si>
  <si>
    <t>Bang</t>
  </si>
  <si>
    <t>Stop!</t>
  </si>
  <si>
    <t>17 (21)</t>
  </si>
  <si>
    <t>Aphroditi Fryda</t>
  </si>
  <si>
    <t>Kloun</t>
  </si>
  <si>
    <t>Marianna</t>
  </si>
  <si>
    <t>To Diko Sou Asteri</t>
  </si>
  <si>
    <t>Christos Callow and Wave</t>
  </si>
  <si>
    <t>Horis Skopo</t>
  </si>
  <si>
    <t>13 (22)</t>
  </si>
  <si>
    <t>Sofia Vossou</t>
  </si>
  <si>
    <t>I Anixi</t>
  </si>
  <si>
    <t>Cleopatra</t>
  </si>
  <si>
    <t>Olou Tou Kosmou I Elpida</t>
  </si>
  <si>
    <t>Katerina Garbi</t>
  </si>
  <si>
    <t>Ellada, Hora Tou Fotos</t>
  </si>
  <si>
    <t>Costas Bigalis and the Sea Lovers</t>
  </si>
  <si>
    <t>To Trehantiri (diri Diri)</t>
  </si>
  <si>
    <t>Elina Constantopoulou</t>
  </si>
  <si>
    <t>Pia Prossefchi</t>
  </si>
  <si>
    <t>Marianna Efstratiou</t>
  </si>
  <si>
    <t>Emis Forame To Himona Anixiatika</t>
  </si>
  <si>
    <t>Marianna Zorba</t>
  </si>
  <si>
    <t>Horepse</t>
  </si>
  <si>
    <t>Dionysia and Thalassa group</t>
  </si>
  <si>
    <t>Mia Krifi Evaisthissia</t>
  </si>
  <si>
    <t>Antique</t>
  </si>
  <si>
    <t>Die For You</t>
  </si>
  <si>
    <t>Michalis Rakintzis</t>
  </si>
  <si>
    <t>S.A.G.A.P.O.</t>
  </si>
  <si>
    <t>Mando</t>
  </si>
  <si>
    <t>Never Let You Go</t>
  </si>
  <si>
    <t>Sakis Rouvas</t>
  </si>
  <si>
    <t>Shake It</t>
  </si>
  <si>
    <t>Helena Paparizou</t>
  </si>
  <si>
    <t>My Number One</t>
  </si>
  <si>
    <t>Everything</t>
  </si>
  <si>
    <t>Sarbel</t>
  </si>
  <si>
    <t>Yassou Maria</t>
  </si>
  <si>
    <t>Kalomira</t>
  </si>
  <si>
    <t>Secret Combination</t>
  </si>
  <si>
    <t>This Is Our Night</t>
  </si>
  <si>
    <t>Giorgos Alkaios &amp; Friends</t>
  </si>
  <si>
    <t>OPA</t>
  </si>
  <si>
    <t>Loucas Yiorkas feat. Stereo Mike</t>
  </si>
  <si>
    <t>Watch My Dance</t>
  </si>
  <si>
    <t>Eleftheria Eleftheriou</t>
  </si>
  <si>
    <t>Aphrodisiac</t>
  </si>
  <si>
    <t>Koza Mostra feat. Agathon Iakovidis</t>
  </si>
  <si>
    <t>Alcohol Is Free</t>
  </si>
  <si>
    <t>Freaky Fortune feat. RiskyKidd</t>
  </si>
  <si>
    <t>Rise Up</t>
  </si>
  <si>
    <t>19 (27)</t>
  </si>
  <si>
    <t>Maria Elena Kyriakou</t>
  </si>
  <si>
    <t>One Last Breath</t>
  </si>
  <si>
    <t>Demy</t>
  </si>
  <si>
    <t>This is Love</t>
  </si>
  <si>
    <t>Katerine Duska</t>
  </si>
  <si>
    <t>Better Love</t>
  </si>
  <si>
    <t>Stefania</t>
  </si>
  <si>
    <t>Last Dance</t>
  </si>
  <si>
    <t>Amanda Georgiadi Tenfjord</t>
  </si>
  <si>
    <t>Die Together</t>
  </si>
  <si>
    <t>Hungary</t>
  </si>
  <si>
    <t>Friderika Bayer</t>
  </si>
  <si>
    <t>Kinek Mondjam El Vйtkeimet</t>
  </si>
  <si>
    <t>Czaba Szigeti</t>
  </si>
  <si>
    <t>Щj Nиv Egy Rиgi Hаz Fаlan</t>
  </si>
  <si>
    <t>VIP</t>
  </si>
  <si>
    <t>Miert Kell, Hogy Elmenj?</t>
  </si>
  <si>
    <t>Charlie</t>
  </si>
  <si>
    <t>A Holnap Mбr Nйm Lesz Szomorъ</t>
  </si>
  <si>
    <t>NOX</t>
  </si>
  <si>
    <t>Forogj Vilбg</t>
  </si>
  <si>
    <t>Magdi Rъzsa</t>
  </si>
  <si>
    <t>Unsubstantial Blues</t>
  </si>
  <si>
    <t>Kati Wolf</t>
  </si>
  <si>
    <t>What About My Dreams?</t>
  </si>
  <si>
    <t>Compact Disco</t>
  </si>
  <si>
    <t>Sound Of Our Hearts</t>
  </si>
  <si>
    <t>ByeAlex</t>
  </si>
  <si>
    <t>Kedvesem (Zoohacker Remix)</t>
  </si>
  <si>
    <t>Andrбs Kбllay-Saunders</t>
  </si>
  <si>
    <t>Running</t>
  </si>
  <si>
    <t>20 (27)</t>
  </si>
  <si>
    <t>Boogie</t>
  </si>
  <si>
    <t>Wars For Nothing</t>
  </si>
  <si>
    <t>Freddie</t>
  </si>
  <si>
    <t>Pioneer</t>
  </si>
  <si>
    <t>Joci Pбpai</t>
  </si>
  <si>
    <t>Origo</t>
  </si>
  <si>
    <t>AWS</t>
  </si>
  <si>
    <t>Viszlбt Nyбr</t>
  </si>
  <si>
    <t>Iceland</t>
  </si>
  <si>
    <t>Icy</t>
  </si>
  <si>
    <t>Gleрibankinn</t>
  </si>
  <si>
    <t>Halla Margarйt</t>
  </si>
  <si>
    <t>Hжgt Og Hljуtt</t>
  </si>
  <si>
    <t>16 (21)</t>
  </si>
  <si>
    <t>Beathoven</t>
  </si>
  <si>
    <t>Sуkrates</t>
  </si>
  <si>
    <t>Danнel Augъst Haraldsson</t>
  </si>
  <si>
    <t>Юaр Sem Enginn Sйr</t>
  </si>
  <si>
    <t>4 (22)</t>
  </si>
  <si>
    <t>Stjуrnin</t>
  </si>
  <si>
    <t>Eitt Lag Enn</t>
  </si>
  <si>
    <t>Stefбn and Eyfi</t>
  </si>
  <si>
    <t>Nina</t>
  </si>
  <si>
    <t>Heart 2 Heart</t>
  </si>
  <si>
    <t>Nei Eрa Jб</t>
  </si>
  <si>
    <t>Inga</t>
  </si>
  <si>
    <t>Юб Veistu Svariр</t>
  </si>
  <si>
    <t>Sigga</t>
  </si>
  <si>
    <t>Nжtur</t>
  </si>
  <si>
    <t>15 (23)</t>
  </si>
  <si>
    <t>Bу Halldуrsson</t>
  </si>
  <si>
    <t>Nъna</t>
  </si>
  <si>
    <t>Anna Mjцll</t>
  </si>
  <si>
    <t>Sjъbнdъ</t>
  </si>
  <si>
    <t>Paul Oscar</t>
  </si>
  <si>
    <t>Minn Hinsti Dans</t>
  </si>
  <si>
    <t>Selma Bjцrnsdуttir</t>
  </si>
  <si>
    <t>All Out Of Luck</t>
  </si>
  <si>
    <t>Einer Augъst Vнрisson en Telma Augъstdуttir</t>
  </si>
  <si>
    <t>Tell Me!</t>
  </si>
  <si>
    <t>TwoTricky</t>
  </si>
  <si>
    <t>Angel</t>
  </si>
  <si>
    <t>Birgitta</t>
  </si>
  <si>
    <t>Open Your Heart</t>
  </si>
  <si>
    <t>Jуnsi</t>
  </si>
  <si>
    <t>Heaven</t>
  </si>
  <si>
    <t>Euroband</t>
  </si>
  <si>
    <t>This Is My Life</t>
  </si>
  <si>
    <t>2 (25)</t>
  </si>
  <si>
    <t>Yohanna</t>
  </si>
  <si>
    <t>Is It True?</t>
  </si>
  <si>
    <t>Hera Bjцrk</t>
  </si>
  <si>
    <t>Je Ne Sais Quoi</t>
  </si>
  <si>
    <t>Sjonni's Friends</t>
  </si>
  <si>
    <t>Coming Home</t>
  </si>
  <si>
    <t>Greta Salуme &amp; Jуnsi</t>
  </si>
  <si>
    <t>Never Forget</t>
  </si>
  <si>
    <t>Eythor Ingi</t>
  </si>
  <si>
    <t>Йg Б Lнf</t>
  </si>
  <si>
    <t>Pollapцnk</t>
  </si>
  <si>
    <t>No Prejudice</t>
  </si>
  <si>
    <t>Hatari</t>
  </si>
  <si>
    <t>Hatriр mun sigra</t>
  </si>
  <si>
    <t>Daрi og Gagnamagniр</t>
  </si>
  <si>
    <t>10 Years</t>
  </si>
  <si>
    <t>Systur</t>
  </si>
  <si>
    <t>Meр Hжkkandi So?l</t>
  </si>
  <si>
    <t>Ireland</t>
  </si>
  <si>
    <t>6 (18)</t>
  </si>
  <si>
    <t>Butch Moore</t>
  </si>
  <si>
    <t>I'm Walking The Streets In The Rain</t>
  </si>
  <si>
    <t>Dickie Rock</t>
  </si>
  <si>
    <t>Come Back To Stay</t>
  </si>
  <si>
    <t>2 (17)</t>
  </si>
  <si>
    <t>Sean Dunphy</t>
  </si>
  <si>
    <t>If I Could Choose</t>
  </si>
  <si>
    <t>4 (17)</t>
  </si>
  <si>
    <t>Pat McGeegan</t>
  </si>
  <si>
    <t>Chance Of A Lifetime</t>
  </si>
  <si>
    <t>Muriel Day and the Lindsays</t>
  </si>
  <si>
    <t>The Wages Of Love</t>
  </si>
  <si>
    <t>1 (12)</t>
  </si>
  <si>
    <t>Dana</t>
  </si>
  <si>
    <t>All Kinds Of Everything</t>
  </si>
  <si>
    <t>Angela Farrell</t>
  </si>
  <si>
    <t>One Day Love</t>
  </si>
  <si>
    <t>Sandie Jones</t>
  </si>
  <si>
    <t>Ceol On Ghrб</t>
  </si>
  <si>
    <t>10 (17)</t>
  </si>
  <si>
    <t>Maxi</t>
  </si>
  <si>
    <t>Do I Dream?</t>
  </si>
  <si>
    <t>Tina</t>
  </si>
  <si>
    <t>Cross Your Heart</t>
  </si>
  <si>
    <t>The Swarbriggs</t>
  </si>
  <si>
    <t>That's What Friends Are For</t>
  </si>
  <si>
    <t>Red Hurley</t>
  </si>
  <si>
    <t>When</t>
  </si>
  <si>
    <t>The Swarbriggs Plus Two</t>
  </si>
  <si>
    <t>It's Nice To Be In Love Again</t>
  </si>
  <si>
    <t>Colm T. Wilkinson</t>
  </si>
  <si>
    <t>Born To Sing</t>
  </si>
  <si>
    <t>Cathal Dunne</t>
  </si>
  <si>
    <t>Happy Man</t>
  </si>
  <si>
    <t>1 (19)</t>
  </si>
  <si>
    <t>Johnny Logan</t>
  </si>
  <si>
    <t>What's Another Year</t>
  </si>
  <si>
    <t>Sheeba</t>
  </si>
  <si>
    <t>Horoscopes</t>
  </si>
  <si>
    <t>The Duskeys</t>
  </si>
  <si>
    <t>Here Today, Gone Tomorrow</t>
  </si>
  <si>
    <t>Linda Martin</t>
  </si>
  <si>
    <t>Terminal '3'</t>
  </si>
  <si>
    <t>Maria Christian</t>
  </si>
  <si>
    <t>Wait Until The Weekend Comes</t>
  </si>
  <si>
    <t>4 (20)</t>
  </si>
  <si>
    <t>Luv Bug</t>
  </si>
  <si>
    <t>You Can Count On Me</t>
  </si>
  <si>
    <t>1 (22)</t>
  </si>
  <si>
    <t>Hold Me Now</t>
  </si>
  <si>
    <t>8 (21)</t>
  </si>
  <si>
    <t>Jump the Gun</t>
  </si>
  <si>
    <t>Take Him Home</t>
  </si>
  <si>
    <t>Kiev Connolly and the Missing Passengers</t>
  </si>
  <si>
    <t>The Real Me</t>
  </si>
  <si>
    <t>Liam Reilly</t>
  </si>
  <si>
    <t>Somewhere In Europe</t>
  </si>
  <si>
    <t>Kim Jackson</t>
  </si>
  <si>
    <t>Could It Be That I'm In Love</t>
  </si>
  <si>
    <t>Why Me</t>
  </si>
  <si>
    <t>Niamh Kavanagh</t>
  </si>
  <si>
    <t>In Your Eyes</t>
  </si>
  <si>
    <t>Paul Harrington and Charlie McGettigan</t>
  </si>
  <si>
    <t>Rock 'n' Roll Kids</t>
  </si>
  <si>
    <t>Eddie Friel</t>
  </si>
  <si>
    <t>Dreamin'</t>
  </si>
  <si>
    <t>Eimear Quinn</t>
  </si>
  <si>
    <t>The Voice</t>
  </si>
  <si>
    <t>Marc Roberts</t>
  </si>
  <si>
    <t>Mysterious Woman</t>
  </si>
  <si>
    <t>Dawn</t>
  </si>
  <si>
    <t>Is Always Over Now?</t>
  </si>
  <si>
    <t>17 (23)</t>
  </si>
  <si>
    <t>The Mullan's</t>
  </si>
  <si>
    <t>When You Need Me</t>
  </si>
  <si>
    <t>Eamonn Toal</t>
  </si>
  <si>
    <t>Millennium Of Love</t>
  </si>
  <si>
    <t>21 (23)</t>
  </si>
  <si>
    <t>Gary O'Shaughnessy</t>
  </si>
  <si>
    <t>Mickey Harte</t>
  </si>
  <si>
    <t>We've Got The World</t>
  </si>
  <si>
    <t>Chris Doran</t>
  </si>
  <si>
    <t>If My World Stopped Turning</t>
  </si>
  <si>
    <t>10 (24)</t>
  </si>
  <si>
    <t>Brian Kennedy</t>
  </si>
  <si>
    <t>Every Song Is A Cry For Love</t>
  </si>
  <si>
    <t>Dervish</t>
  </si>
  <si>
    <t>They Can't Stop The Spring</t>
  </si>
  <si>
    <t>It's For You</t>
  </si>
  <si>
    <t>Jedward</t>
  </si>
  <si>
    <t>Lipstick</t>
  </si>
  <si>
    <t>Waterline</t>
  </si>
  <si>
    <t>Ryan Dolan</t>
  </si>
  <si>
    <t>Only Love Survives</t>
  </si>
  <si>
    <t>Ryan O'Shaughnessy</t>
  </si>
  <si>
    <t>Together</t>
  </si>
  <si>
    <t>Israel</t>
  </si>
  <si>
    <t>Ilanit</t>
  </si>
  <si>
    <t>Ey-sham</t>
  </si>
  <si>
    <t>Poogy</t>
  </si>
  <si>
    <t>Natati La Khaiai</t>
  </si>
  <si>
    <t>Shlomo Artzi</t>
  </si>
  <si>
    <t>At Ve'ani</t>
  </si>
  <si>
    <t>Chocolate, Menta, Mastik</t>
  </si>
  <si>
    <t>Emor Shalom</t>
  </si>
  <si>
    <t>Ah-haa-vah Hee Shir Lish-naa-yim</t>
  </si>
  <si>
    <t>Izhar Cohen and the Alphabeta</t>
  </si>
  <si>
    <t>Abanibi</t>
  </si>
  <si>
    <t>Milk and Honey</t>
  </si>
  <si>
    <t>Hallelujah</t>
  </si>
  <si>
    <t>7 (20)</t>
  </si>
  <si>
    <t>Habibi</t>
  </si>
  <si>
    <t>Halaylah</t>
  </si>
  <si>
    <t>Avi Toledano</t>
  </si>
  <si>
    <t>Hora</t>
  </si>
  <si>
    <t>Ofra Haza</t>
  </si>
  <si>
    <t>Hi</t>
  </si>
  <si>
    <t>Izhar Cohen</t>
  </si>
  <si>
    <t>Olй Olй</t>
  </si>
  <si>
    <t>19 (20)</t>
  </si>
  <si>
    <t>Moti Galadi and Sarai Tzuriel</t>
  </si>
  <si>
    <t>Yavoh Yom</t>
  </si>
  <si>
    <t>Datner and Kushnir</t>
  </si>
  <si>
    <t>Shir Habatlanim</t>
  </si>
  <si>
    <t>7 (21)</t>
  </si>
  <si>
    <t>Yardena Arazi</t>
  </si>
  <si>
    <t>Ben Adam</t>
  </si>
  <si>
    <t>Gili ve Galit</t>
  </si>
  <si>
    <t>Derech Ha'melech</t>
  </si>
  <si>
    <t>Rita</t>
  </si>
  <si>
    <t>Shara Barechovot</t>
  </si>
  <si>
    <t>Duo Datz</t>
  </si>
  <si>
    <t>Kan</t>
  </si>
  <si>
    <t>Dafna</t>
  </si>
  <si>
    <t>Ze Rak Sport</t>
  </si>
  <si>
    <t>Lakahat Shiru</t>
  </si>
  <si>
    <t>Shiru</t>
  </si>
  <si>
    <t>Liora</t>
  </si>
  <si>
    <t>Amen</t>
  </si>
  <si>
    <t>Dana International</t>
  </si>
  <si>
    <t>Diva</t>
  </si>
  <si>
    <t>Eden</t>
  </si>
  <si>
    <t>Yom Huledeth</t>
  </si>
  <si>
    <t>Ping Pong</t>
  </si>
  <si>
    <t>Sa'me'akh</t>
  </si>
  <si>
    <t>Tal Sondak</t>
  </si>
  <si>
    <t>Ein Davar</t>
  </si>
  <si>
    <t>Sarit Hadad</t>
  </si>
  <si>
    <t>Light A Candle</t>
  </si>
  <si>
    <t>Lior Narkis</t>
  </si>
  <si>
    <t>Words For Love</t>
  </si>
  <si>
    <t>Shiri Maymon</t>
  </si>
  <si>
    <t>Hasheket Shenish'ar</t>
  </si>
  <si>
    <t>Eddie Butler</t>
  </si>
  <si>
    <t>Ze Hazman</t>
  </si>
  <si>
    <t>Boaz</t>
  </si>
  <si>
    <t>The Fire In Your Eyes</t>
  </si>
  <si>
    <t>Noa &amp; Mira Awad</t>
  </si>
  <si>
    <t>There Must Be Another Way</t>
  </si>
  <si>
    <t>Harel Skaat</t>
  </si>
  <si>
    <t>Milim</t>
  </si>
  <si>
    <t>9 (27)</t>
  </si>
  <si>
    <t>Nadav Guedj</t>
  </si>
  <si>
    <t>Golden Boy</t>
  </si>
  <si>
    <t>Hovi Star</t>
  </si>
  <si>
    <t>Made Of Stars</t>
  </si>
  <si>
    <t>IMRI</t>
  </si>
  <si>
    <t>I Feel Alive</t>
  </si>
  <si>
    <t>Netta</t>
  </si>
  <si>
    <t>TOY</t>
  </si>
  <si>
    <t>Kobi Marimi</t>
  </si>
  <si>
    <t>Home</t>
  </si>
  <si>
    <t>Eden Alene</t>
  </si>
  <si>
    <t>Set Me Free</t>
  </si>
  <si>
    <t>Italy</t>
  </si>
  <si>
    <t>6 (10)</t>
  </si>
  <si>
    <t>Nunzio Gallo</t>
  </si>
  <si>
    <t>Corde Della Mia Chitarra</t>
  </si>
  <si>
    <t>Domenico Modugno</t>
  </si>
  <si>
    <t>Nel Blu Dipinto Di Blu</t>
  </si>
  <si>
    <t>Piove</t>
  </si>
  <si>
    <t>8 (13)</t>
  </si>
  <si>
    <t>Renato Rascel</t>
  </si>
  <si>
    <t>Romantica</t>
  </si>
  <si>
    <t>Betty Curtis</t>
  </si>
  <si>
    <t>Al Di Lа</t>
  </si>
  <si>
    <t>Claudio Villa</t>
  </si>
  <si>
    <t>Addio, Addio</t>
  </si>
  <si>
    <t>3 (16)</t>
  </si>
  <si>
    <t>Emilio Pericoli</t>
  </si>
  <si>
    <t>Uno Per Tutte</t>
  </si>
  <si>
    <t>Gigliola Cinquetti</t>
  </si>
  <si>
    <t>Non Ho L'йtа</t>
  </si>
  <si>
    <t>Bobby Solo</t>
  </si>
  <si>
    <t>Se Piangi, Se Ridi</t>
  </si>
  <si>
    <t>Dio Come Ti Amo</t>
  </si>
  <si>
    <t>Non Andare Piщ Lontano</t>
  </si>
  <si>
    <t>Sergio Endrigo</t>
  </si>
  <si>
    <t>Marianne</t>
  </si>
  <si>
    <t>Iva Zanicchi</t>
  </si>
  <si>
    <t>Due Grosse Lacrime Bianche</t>
  </si>
  <si>
    <t>Gianni Morandi</t>
  </si>
  <si>
    <t>Occhi Di Ragazza</t>
  </si>
  <si>
    <t>Massimo Ranieri</t>
  </si>
  <si>
    <t>L'amore и Un Attimo</t>
  </si>
  <si>
    <t>Nicola di Bari</t>
  </si>
  <si>
    <t>I Giorni Dell' Arcobaleno</t>
  </si>
  <si>
    <t>Chi Sarа Con Te</t>
  </si>
  <si>
    <t>Si</t>
  </si>
  <si>
    <t>Wess and Dori Ghezzi</t>
  </si>
  <si>
    <t>Era</t>
  </si>
  <si>
    <t>Romina and Al Bano</t>
  </si>
  <si>
    <t>We'll Live It All Again</t>
  </si>
  <si>
    <t>Mia Martini</t>
  </si>
  <si>
    <t>Liberа</t>
  </si>
  <si>
    <t>12 (20)</t>
  </si>
  <si>
    <t>Ricchi e Poveri</t>
  </si>
  <si>
    <t>Questo Amore</t>
  </si>
  <si>
    <t>Matia Bazar</t>
  </si>
  <si>
    <t>Raggio Di Luna</t>
  </si>
  <si>
    <t>Alan Sorrenti</t>
  </si>
  <si>
    <t>Non So Che Darei</t>
  </si>
  <si>
    <t>Riccardo Fogli</t>
  </si>
  <si>
    <t>Per Lucia</t>
  </si>
  <si>
    <t>Alice and Battiato</t>
  </si>
  <si>
    <t>I Treni Di Tozeur</t>
  </si>
  <si>
    <t>Al Bano and Romina Power</t>
  </si>
  <si>
    <t>Magic, Oh Magic</t>
  </si>
  <si>
    <t>Umberto Tozzi and Raf</t>
  </si>
  <si>
    <t>Gente Di Mare</t>
  </si>
  <si>
    <t>12 (21)</t>
  </si>
  <si>
    <t>Luca Barbarossa</t>
  </si>
  <si>
    <t>Ti Scrivo</t>
  </si>
  <si>
    <t>Anna Oxa and Fausto Leali</t>
  </si>
  <si>
    <t>Avrei Voluto</t>
  </si>
  <si>
    <t>Toto Cutugno</t>
  </si>
  <si>
    <t>Insieme: 1992</t>
  </si>
  <si>
    <t>Peppino di Capri</t>
  </si>
  <si>
    <t>Comme E' Ddoce 'o Mare</t>
  </si>
  <si>
    <t>Rapsodia</t>
  </si>
  <si>
    <t>Enrico Ruggeri</t>
  </si>
  <si>
    <t>Sole D'europa</t>
  </si>
  <si>
    <t>Jalisse</t>
  </si>
  <si>
    <t>Fiumi Di Parole</t>
  </si>
  <si>
    <t>Raphael Gualazzi</t>
  </si>
  <si>
    <t>Madness Of Love</t>
  </si>
  <si>
    <t>Nina Zilli</t>
  </si>
  <si>
    <t>L'Amore И Femmina (Out Of Love)</t>
  </si>
  <si>
    <t>Marco Mengoni</t>
  </si>
  <si>
    <t>L'Essenziale</t>
  </si>
  <si>
    <t>Emma</t>
  </si>
  <si>
    <t>La Mia Cittа</t>
  </si>
  <si>
    <t>3 (27)</t>
  </si>
  <si>
    <t>Il Volo</t>
  </si>
  <si>
    <t>Grande Amore</t>
  </si>
  <si>
    <t>Francesca Michielin</t>
  </si>
  <si>
    <t>No Degree Of Separation</t>
  </si>
  <si>
    <t>Francesco Gabbani</t>
  </si>
  <si>
    <t>Occidentali's Karma</t>
  </si>
  <si>
    <t>Ermal Meta e Fabrizio Moro</t>
  </si>
  <si>
    <t>Non Mi Avete Fatto Niente</t>
  </si>
  <si>
    <t>Mahmood</t>
  </si>
  <si>
    <t>Soldi</t>
  </si>
  <si>
    <t>Mеneskin</t>
  </si>
  <si>
    <t>Zitti E Buoni</t>
  </si>
  <si>
    <t>Mahmood &amp; Blanco</t>
  </si>
  <si>
    <t>Brividi</t>
  </si>
  <si>
    <t>Latvia</t>
  </si>
  <si>
    <t>BrainStorm</t>
  </si>
  <si>
    <t>My Star</t>
  </si>
  <si>
    <t>18 (23)</t>
  </si>
  <si>
    <t>Arnis Mednis</t>
  </si>
  <si>
    <t>Too Much</t>
  </si>
  <si>
    <t>Marie N</t>
  </si>
  <si>
    <t>I Wanna</t>
  </si>
  <si>
    <t>F.L.Y.</t>
  </si>
  <si>
    <t>Hello From Mars</t>
  </si>
  <si>
    <t>Walter &amp; Kazha</t>
  </si>
  <si>
    <t>The War Is Not Over</t>
  </si>
  <si>
    <t>Cosmos</t>
  </si>
  <si>
    <t>I Hear Your Heart</t>
  </si>
  <si>
    <t>Bonaparti.lv</t>
  </si>
  <si>
    <t>Questa Notte</t>
  </si>
  <si>
    <t>Pirates Of The Sea</t>
  </si>
  <si>
    <t>Wolves Of The Sea</t>
  </si>
  <si>
    <t>6 (27)</t>
  </si>
  <si>
    <t>Aminata</t>
  </si>
  <si>
    <t>Love Injected</t>
  </si>
  <si>
    <t>Justs</t>
  </si>
  <si>
    <t>Heartbeat</t>
  </si>
  <si>
    <t>Lithuania</t>
  </si>
  <si>
    <t>Ovidijus Vysniauskas</t>
  </si>
  <si>
    <t>Lopsine Mylimai</t>
  </si>
  <si>
    <t>Aiste Smilgeviciute</t>
  </si>
  <si>
    <t>Strazdas</t>
  </si>
  <si>
    <t>Skamp</t>
  </si>
  <si>
    <t>You Got Style</t>
  </si>
  <si>
    <t>Aivaras</t>
  </si>
  <si>
    <t>Happy You</t>
  </si>
  <si>
    <t>LT United</t>
  </si>
  <si>
    <t>We Are The Winners</t>
  </si>
  <si>
    <t>4Fun</t>
  </si>
  <si>
    <t>Love Or Leave</t>
  </si>
  <si>
    <t>Sasha Son</t>
  </si>
  <si>
    <t>Love</t>
  </si>
  <si>
    <t>Evelina Saљenko</t>
  </si>
  <si>
    <t>C'est Ma Vie</t>
  </si>
  <si>
    <t>Donny Montell</t>
  </si>
  <si>
    <t>Love Is Blind</t>
  </si>
  <si>
    <t>Andrius Pojavis</t>
  </si>
  <si>
    <t>Something</t>
  </si>
  <si>
    <t>18 (27)</t>
  </si>
  <si>
    <t>Monika Linkyt? and Vaidas Baumila</t>
  </si>
  <si>
    <t>This Time</t>
  </si>
  <si>
    <t>I've Been Waiting For This Night</t>
  </si>
  <si>
    <t>Ieva Zasimauskait?</t>
  </si>
  <si>
    <t>When We're Old</t>
  </si>
  <si>
    <t>The Roop</t>
  </si>
  <si>
    <t>Discoteque</t>
  </si>
  <si>
    <t>Monika Liu</t>
  </si>
  <si>
    <t>Sentimentai</t>
  </si>
  <si>
    <t>Luxembourg</t>
  </si>
  <si>
    <t>Daniиle Duprй</t>
  </si>
  <si>
    <t>Tant De Peine</t>
  </si>
  <si>
    <t>9 (10)</t>
  </si>
  <si>
    <t>Solange Berry</t>
  </si>
  <si>
    <t>Un Grand Amour</t>
  </si>
  <si>
    <t>13 (13)</t>
  </si>
  <si>
    <t>Camillo Felgen</t>
  </si>
  <si>
    <t>So Laang We's Du Do Bast</t>
  </si>
  <si>
    <t>Jean-Claude Pascal</t>
  </si>
  <si>
    <t>Nous Les Amoureux</t>
  </si>
  <si>
    <t>Petit Bonhomme</t>
  </si>
  <si>
    <t>8 (16)</t>
  </si>
  <si>
    <t>Nana Mouskouri</t>
  </si>
  <si>
    <t>A Force De Prier</t>
  </si>
  <si>
    <t>Hugues Aufray</t>
  </si>
  <si>
    <t>Dиs Que Le Printemps Revient</t>
  </si>
  <si>
    <t>France Gall</t>
  </si>
  <si>
    <t>Poupйe De Cire, Poupйe De Son</t>
  </si>
  <si>
    <t>Michиle Torr</t>
  </si>
  <si>
    <t>Ce Soir Je T'attendais</t>
  </si>
  <si>
    <t>Vicky</t>
  </si>
  <si>
    <t>L'amour Est Bleu</t>
  </si>
  <si>
    <t>Chris Baldo and Sophie Garel</t>
  </si>
  <si>
    <t>Nous Vivrons D'amour</t>
  </si>
  <si>
    <t>11 (16)</t>
  </si>
  <si>
    <t>Romuald</t>
  </si>
  <si>
    <t>Cathйrine</t>
  </si>
  <si>
    <t>12 (12)</t>
  </si>
  <si>
    <t>David-Alexandre Winter</t>
  </si>
  <si>
    <t>Je Suis Tombй Du Ciel</t>
  </si>
  <si>
    <t>Monique Melsen</t>
  </si>
  <si>
    <t>Pomme, Pomme, Pomme</t>
  </si>
  <si>
    <t>Vicky Leandros</t>
  </si>
  <si>
    <t>Aprиs Toi</t>
  </si>
  <si>
    <t>1 (17)</t>
  </si>
  <si>
    <t>Tu Te Reconnaоtras</t>
  </si>
  <si>
    <t>Bye, Bye, I Love You</t>
  </si>
  <si>
    <t>Gйraldine</t>
  </si>
  <si>
    <t>Toi</t>
  </si>
  <si>
    <t>Jьrgen Marcus</t>
  </si>
  <si>
    <t>Chansons Pour Ceux Qui S'aiment</t>
  </si>
  <si>
    <t>Anne Marie B.</t>
  </si>
  <si>
    <t>Frиre Jacques</t>
  </si>
  <si>
    <t>Baccara</t>
  </si>
  <si>
    <t>Parlez-vous Franзais?</t>
  </si>
  <si>
    <t>Jeane Manson</t>
  </si>
  <si>
    <t>J'ai Dйjа Vu зa Dans Tes Yeux</t>
  </si>
  <si>
    <t>Sophie and Magaly</t>
  </si>
  <si>
    <t>Papa Pingouin</t>
  </si>
  <si>
    <t>C'est Peut-кtre Pas L'amйrique</t>
  </si>
  <si>
    <t>Svetlana</t>
  </si>
  <si>
    <t>Cours Aprиs Le Temps</t>
  </si>
  <si>
    <t>Corinne Hermиs</t>
  </si>
  <si>
    <t>Si La Vie Est Cadeau</t>
  </si>
  <si>
    <t>Sophie Carle</t>
  </si>
  <si>
    <t>100% D'amour</t>
  </si>
  <si>
    <t>Margo, Franck Olivier, Diane Solomon, Ireen Sheer, Malcolm Roberts,Chris Roberts</t>
  </si>
  <si>
    <t>Children, Kinder, Enfants</t>
  </si>
  <si>
    <t>Sherisse Laurence</t>
  </si>
  <si>
    <t>L'amour De Ma Vie</t>
  </si>
  <si>
    <t>Plastic Bertrand</t>
  </si>
  <si>
    <t>Amour Amour</t>
  </si>
  <si>
    <t>4 (21)</t>
  </si>
  <si>
    <t>Lara Fabian</t>
  </si>
  <si>
    <t>Croire</t>
  </si>
  <si>
    <t>Park Cafй</t>
  </si>
  <si>
    <t>Monsieur</t>
  </si>
  <si>
    <t>Cйline Carzo</t>
  </si>
  <si>
    <t>Quand Je Te Rкve</t>
  </si>
  <si>
    <t>Sarah Bray</t>
  </si>
  <si>
    <t>Un Baiser Volй</t>
  </si>
  <si>
    <t>Marion Welter and Kontinent</t>
  </si>
  <si>
    <t>Sou Frдi</t>
  </si>
  <si>
    <t>Modern Times</t>
  </si>
  <si>
    <t>Donne-moi Une Chance</t>
  </si>
  <si>
    <t>FYR Macedonia</t>
  </si>
  <si>
    <t>Vlado Janevski</t>
  </si>
  <si>
    <t>Ne Zori, Zoro</t>
  </si>
  <si>
    <t>XXL</t>
  </si>
  <si>
    <t>100% Te Ljubam</t>
  </si>
  <si>
    <t>Karolina</t>
  </si>
  <si>
    <t>Od Nas Zavisi</t>
  </si>
  <si>
    <t>Tose Proeski</t>
  </si>
  <si>
    <t>Life</t>
  </si>
  <si>
    <t>Martin Vucic</t>
  </si>
  <si>
    <t>Make My Day</t>
  </si>
  <si>
    <t>Elena Risteska</t>
  </si>
  <si>
    <t>Ninanajna</t>
  </si>
  <si>
    <t>Mojot Svet</t>
  </si>
  <si>
    <t>Kaliopi</t>
  </si>
  <si>
    <t>Crno I Belo</t>
  </si>
  <si>
    <t>Tamara Todevska</t>
  </si>
  <si>
    <t>Proud</t>
  </si>
  <si>
    <t>Malta</t>
  </si>
  <si>
    <t>Joe Grech</t>
  </si>
  <si>
    <t>Marija L-maltija</t>
  </si>
  <si>
    <t>Helen and Joseph</t>
  </si>
  <si>
    <t>L-imhabba</t>
  </si>
  <si>
    <t>12 (19)</t>
  </si>
  <si>
    <t>Renato</t>
  </si>
  <si>
    <t>Singing This Song</t>
  </si>
  <si>
    <t>6 (22)</t>
  </si>
  <si>
    <t>Paul Giordimaina and Georgina</t>
  </si>
  <si>
    <t>Could It Be</t>
  </si>
  <si>
    <t>Mary Spiteri</t>
  </si>
  <si>
    <t>Little Child</t>
  </si>
  <si>
    <t>William Mangion</t>
  </si>
  <si>
    <t>Moira Stafrace and Christopher Scicluna</t>
  </si>
  <si>
    <t>More Than Love</t>
  </si>
  <si>
    <t>Mike Spiteri</t>
  </si>
  <si>
    <t>Keep Me In Mind</t>
  </si>
  <si>
    <t>Miriam Christine</t>
  </si>
  <si>
    <t>In A Woman's Heart</t>
  </si>
  <si>
    <t>Debbie Scerri</t>
  </si>
  <si>
    <t>Let Me Fly</t>
  </si>
  <si>
    <t>Chiara</t>
  </si>
  <si>
    <t>The One That I Love</t>
  </si>
  <si>
    <t>Times 3</t>
  </si>
  <si>
    <t>Believe 'n Peace</t>
  </si>
  <si>
    <t>Claudette Pace</t>
  </si>
  <si>
    <t>Desire</t>
  </si>
  <si>
    <t>Fabrizio Faniello</t>
  </si>
  <si>
    <t>Another Summer Night</t>
  </si>
  <si>
    <t>2 (24)</t>
  </si>
  <si>
    <t>Ira Losco</t>
  </si>
  <si>
    <t>7th Wonder</t>
  </si>
  <si>
    <t>Lynn Chirchop</t>
  </si>
  <si>
    <t>To Dream Again</t>
  </si>
  <si>
    <t>Julie &amp; Ludwig</t>
  </si>
  <si>
    <t>On Again... Off Again</t>
  </si>
  <si>
    <t>I Do</t>
  </si>
  <si>
    <t>What If We</t>
  </si>
  <si>
    <t>Kurt Calleja</t>
  </si>
  <si>
    <t>This Is The Night</t>
  </si>
  <si>
    <t>Gianluca</t>
  </si>
  <si>
    <t>Tomorrow</t>
  </si>
  <si>
    <t>Firelight</t>
  </si>
  <si>
    <t>Walk On Walter</t>
  </si>
  <si>
    <t>Michela</t>
  </si>
  <si>
    <t>Chameleon</t>
  </si>
  <si>
    <t>Destiny</t>
  </si>
  <si>
    <t>Je Me Casse</t>
  </si>
  <si>
    <t>Moldova</t>
  </si>
  <si>
    <t>Zdob si Zdub</t>
  </si>
  <si>
    <t>Boonika Bate Toba</t>
  </si>
  <si>
    <t>Arsenium &amp; Natalia Gordienko</t>
  </si>
  <si>
    <t>Loca</t>
  </si>
  <si>
    <t>Natalia Barbu</t>
  </si>
  <si>
    <t>Fight</t>
  </si>
  <si>
    <t>Nelly Ciobanu</t>
  </si>
  <si>
    <t>Hora Din Moldova</t>
  </si>
  <si>
    <t>Sunstroke Project &amp; Olia Tira</t>
  </si>
  <si>
    <t>Run Away</t>
  </si>
  <si>
    <t>Zdob ?i Zdub</t>
  </si>
  <si>
    <t>So Lucky</t>
  </si>
  <si>
    <t>Pasha Parfeny</t>
  </si>
  <si>
    <t>L?utar</t>
  </si>
  <si>
    <t>Aliona Moon</t>
  </si>
  <si>
    <t>O Mie</t>
  </si>
  <si>
    <t>Sunstroke Project</t>
  </si>
  <si>
    <t>Hey Mamma</t>
  </si>
  <si>
    <t>DoReDos</t>
  </si>
  <si>
    <t>My Lucky Day</t>
  </si>
  <si>
    <t>Natalia Gordienko</t>
  </si>
  <si>
    <t>SUGAR</t>
  </si>
  <si>
    <t>Zdob ?i Zdub &amp; Fra?ii Advahov</t>
  </si>
  <si>
    <t>Trenule?ul</t>
  </si>
  <si>
    <t>Monaco</t>
  </si>
  <si>
    <t>11 (11)</t>
  </si>
  <si>
    <t>Jacques Pills</t>
  </si>
  <si>
    <t>Mon Ami Pierrot</t>
  </si>
  <si>
    <t>3 (13)</t>
  </si>
  <si>
    <t>Franзois Deguelt</t>
  </si>
  <si>
    <t>Ce Soir-lа</t>
  </si>
  <si>
    <t>Colette Derйal</t>
  </si>
  <si>
    <t>Allons, Allons Les Enfants</t>
  </si>
  <si>
    <t>2 (16)</t>
  </si>
  <si>
    <t>Dis Rien</t>
  </si>
  <si>
    <t>Franзoise Hardy</t>
  </si>
  <si>
    <t>L'amour S'en Va</t>
  </si>
  <si>
    <t>Oщ Sont-elles Passйes?</t>
  </si>
  <si>
    <t>Marjorie Noлl</t>
  </si>
  <si>
    <t>Va Dire а L'amour</t>
  </si>
  <si>
    <t>Tereza</t>
  </si>
  <si>
    <t>Bien Plus Fort</t>
  </si>
  <si>
    <t>5 (17)</t>
  </si>
  <si>
    <t>Minouche Barelli</t>
  </si>
  <si>
    <t>Boum-badaboum</t>
  </si>
  <si>
    <t>Line and Willy</t>
  </si>
  <si>
    <t>A Chacun Sa Chanson</t>
  </si>
  <si>
    <t>Jean-Jacques</t>
  </si>
  <si>
    <t>Maman, Maman</t>
  </si>
  <si>
    <t>Dominique Dussault</t>
  </si>
  <si>
    <t>Marlиne</t>
  </si>
  <si>
    <t>Sйverine</t>
  </si>
  <si>
    <t>Un Banc, Un Arbre, Une Rue</t>
  </si>
  <si>
    <t>Anne-Marie Godart and Peter MacLane</t>
  </si>
  <si>
    <t>Comme On S'aime</t>
  </si>
  <si>
    <t>Marie</t>
  </si>
  <si>
    <t>Un Train Qui Part</t>
  </si>
  <si>
    <t>Celui Qui Reste Et Celui Qui S'en Va</t>
  </si>
  <si>
    <t>Sophie</t>
  </si>
  <si>
    <t>Une Chanson C'est Une Lettre</t>
  </si>
  <si>
    <t>Mary Christy</t>
  </si>
  <si>
    <t>Toi, La Musique Et Moi</t>
  </si>
  <si>
    <t>Une Petite Franзaise</t>
  </si>
  <si>
    <t>Caline and Olivier Toussaint</t>
  </si>
  <si>
    <t>Les Jardins De Monaco</t>
  </si>
  <si>
    <t>Laurent Vaguener</t>
  </si>
  <si>
    <t>Notre Vie, C'est La Musique</t>
  </si>
  <si>
    <t>Montenegro</t>
  </si>
  <si>
    <t>Sergej ?etkovi?</t>
  </si>
  <si>
    <t>Moj Svijet</t>
  </si>
  <si>
    <t>13 (27)</t>
  </si>
  <si>
    <t>Knez</t>
  </si>
  <si>
    <t>Adio</t>
  </si>
  <si>
    <t>Morocco</t>
  </si>
  <si>
    <t>Samira Bensaпd</t>
  </si>
  <si>
    <t>Bitakat Hob</t>
  </si>
  <si>
    <t>Netherlands</t>
  </si>
  <si>
    <t>Corry Brokken</t>
  </si>
  <si>
    <t>Net Als Toen</t>
  </si>
  <si>
    <t>Heel De Wereld</t>
  </si>
  <si>
    <t>1 (11)</t>
  </si>
  <si>
    <t>Teddy Scholten</t>
  </si>
  <si>
    <t>Een Beetje</t>
  </si>
  <si>
    <t>12 (13)</t>
  </si>
  <si>
    <t>Rudi Carrell</t>
  </si>
  <si>
    <t>Wat Een Geluk</t>
  </si>
  <si>
    <t>Greetje Kauffeld</t>
  </si>
  <si>
    <t>Wat Een Dag</t>
  </si>
  <si>
    <t>De Spelbrekers</t>
  </si>
  <si>
    <t>Katinka</t>
  </si>
  <si>
    <t>Annie Palmen</t>
  </si>
  <si>
    <t>Een Speeldoos</t>
  </si>
  <si>
    <t>Anneke Grцnloh</t>
  </si>
  <si>
    <t>Jij Bent Mijn Leven</t>
  </si>
  <si>
    <t>Conny Van den bos</t>
  </si>
  <si>
    <t>Het Is Genoeg</t>
  </si>
  <si>
    <t>Milly Scott</t>
  </si>
  <si>
    <t>Fernando En Philippo</t>
  </si>
  <si>
    <t>Thйrиse Steinmetz</t>
  </si>
  <si>
    <t>Ring-dinge</t>
  </si>
  <si>
    <t>Ronnie Tober</t>
  </si>
  <si>
    <t>Morgen</t>
  </si>
  <si>
    <t>Lenny Kuhr</t>
  </si>
  <si>
    <t>De Troubadour</t>
  </si>
  <si>
    <t>7 (12)</t>
  </si>
  <si>
    <t>Patricia and Hearts of Soul</t>
  </si>
  <si>
    <t>Waterman</t>
  </si>
  <si>
    <t>Saskia and Serge</t>
  </si>
  <si>
    <t>De Tijd</t>
  </si>
  <si>
    <t>Sandra and Andres</t>
  </si>
  <si>
    <t>Als Het Om De Liefde Gaat</t>
  </si>
  <si>
    <t>Ben Cramer</t>
  </si>
  <si>
    <t>De Oude Muzikant</t>
  </si>
  <si>
    <t>Mouth and MacNeal</t>
  </si>
  <si>
    <t>I See A Star</t>
  </si>
  <si>
    <t>Teach-In</t>
  </si>
  <si>
    <t>Ding-A-Dong</t>
  </si>
  <si>
    <t>Sandra Reemer</t>
  </si>
  <si>
    <t>The Party's Over Now</t>
  </si>
  <si>
    <t>Heddy Lester</t>
  </si>
  <si>
    <t>De Mallemolen</t>
  </si>
  <si>
    <t>Harmony</t>
  </si>
  <si>
    <t>'t Is Ok</t>
  </si>
  <si>
    <t>Xandra</t>
  </si>
  <si>
    <t>Colorado</t>
  </si>
  <si>
    <t>Maggie MacNeal</t>
  </si>
  <si>
    <t>Amsterdam</t>
  </si>
  <si>
    <t>Linda Williams</t>
  </si>
  <si>
    <t>Het Is Een Wonder</t>
  </si>
  <si>
    <t>Bill van Dijk</t>
  </si>
  <si>
    <t>Jij En Ik</t>
  </si>
  <si>
    <t>Bernadette</t>
  </si>
  <si>
    <t>Sing Me A Song</t>
  </si>
  <si>
    <t>Maribelle</t>
  </si>
  <si>
    <t>Ik Hou Van Jou</t>
  </si>
  <si>
    <t>Frizzle Sizzle</t>
  </si>
  <si>
    <t>Alles Heeft Ritme</t>
  </si>
  <si>
    <t>Marcha</t>
  </si>
  <si>
    <t>Rechtop In De Wind</t>
  </si>
  <si>
    <t>9 (21)</t>
  </si>
  <si>
    <t>Gerard Joling</t>
  </si>
  <si>
    <t>Shangri-la</t>
  </si>
  <si>
    <t>Justine Pelmelay</t>
  </si>
  <si>
    <t>Blijf Zoals Je Bent</t>
  </si>
  <si>
    <t>Maywood</t>
  </si>
  <si>
    <t>Ik Wil Alles Met Je Delen</t>
  </si>
  <si>
    <t>Humphrey Campbell</t>
  </si>
  <si>
    <t>Wijs Me De Weg</t>
  </si>
  <si>
    <t>Ruth Jacott</t>
  </si>
  <si>
    <t>Vrede</t>
  </si>
  <si>
    <t>Willeke Alberti</t>
  </si>
  <si>
    <t>Waar Is De Zon</t>
  </si>
  <si>
    <t>Maxine and Franklin Brown</t>
  </si>
  <si>
    <t>De Eerste Keer</t>
  </si>
  <si>
    <t>Mrs. Einstein</t>
  </si>
  <si>
    <t>Niemand Heeft Nog Tijd</t>
  </si>
  <si>
    <t>Edsilia Rombley</t>
  </si>
  <si>
    <t>Hemel En Aarde</t>
  </si>
  <si>
    <t>Marlayne</t>
  </si>
  <si>
    <t>One Good Reason</t>
  </si>
  <si>
    <t>Linda Wagenmakers</t>
  </si>
  <si>
    <t>No Goodbyes</t>
  </si>
  <si>
    <t>Out On My Own</t>
  </si>
  <si>
    <t>Esther Hart</t>
  </si>
  <si>
    <t>One More Night</t>
  </si>
  <si>
    <t>Re-union</t>
  </si>
  <si>
    <t>Without You</t>
  </si>
  <si>
    <t>Anouk</t>
  </si>
  <si>
    <t>Birds</t>
  </si>
  <si>
    <t>The Common Linnets</t>
  </si>
  <si>
    <t>Calm After The Storm</t>
  </si>
  <si>
    <t>Douwe Bob</t>
  </si>
  <si>
    <t>Slow Down</t>
  </si>
  <si>
    <t>OG3NE</t>
  </si>
  <si>
    <t>Lights and Shadows</t>
  </si>
  <si>
    <t>Waylon</t>
  </si>
  <si>
    <t>Outlaw In 'Em</t>
  </si>
  <si>
    <t>Duncan Laurence</t>
  </si>
  <si>
    <t>Arcade</t>
  </si>
  <si>
    <t>Jeangu Macrooy</t>
  </si>
  <si>
    <t>Birth Of A New Age</t>
  </si>
  <si>
    <t>S10</t>
  </si>
  <si>
    <t>De Diepte</t>
  </si>
  <si>
    <t>Norway</t>
  </si>
  <si>
    <t>Nora Brockstedt</t>
  </si>
  <si>
    <t>Voi-voi</t>
  </si>
  <si>
    <t>Sommer I Palma</t>
  </si>
  <si>
    <t>Inger Jacobsen</t>
  </si>
  <si>
    <t>Kom Sol, Kom Regn</t>
  </si>
  <si>
    <t>Anita Thallaug</t>
  </si>
  <si>
    <t>Solhverv</t>
  </si>
  <si>
    <t>Arne Bendiksen</t>
  </si>
  <si>
    <t>Spiral</t>
  </si>
  <si>
    <t>Kirsti Sparboe</t>
  </si>
  <si>
    <t>Karusell</t>
  </si>
  <si>
    <t>Еse Kleveland</t>
  </si>
  <si>
    <t>Intet Er Nytt Under Solen</t>
  </si>
  <si>
    <t>Dukkemann</t>
  </si>
  <si>
    <t>Odd Bшrre</t>
  </si>
  <si>
    <t>Stress</t>
  </si>
  <si>
    <t>16 (16)</t>
  </si>
  <si>
    <t>Oj, Oj, Oj, Sе Glad, Jeg Skal Bli</t>
  </si>
  <si>
    <t>Hanne Krogh</t>
  </si>
  <si>
    <t>Lykken Er...</t>
  </si>
  <si>
    <t>Grethe Kausland and Benny Borg</t>
  </si>
  <si>
    <t>Smеting</t>
  </si>
  <si>
    <t>Bendik Singers</t>
  </si>
  <si>
    <t>It's Just A Game</t>
  </si>
  <si>
    <t>Anne-Karine Strцm and the Bendik Singers</t>
  </si>
  <si>
    <t>The First Day Of Love</t>
  </si>
  <si>
    <t>Ellen Nikolaysen</t>
  </si>
  <si>
    <t>You Touched My Life With Summer</t>
  </si>
  <si>
    <t>Anne-Karine Strцm</t>
  </si>
  <si>
    <t>Anita Skorgan</t>
  </si>
  <si>
    <t>Casanova</t>
  </si>
  <si>
    <t>Jahn Teigen</t>
  </si>
  <si>
    <t>Mil Etter Mil</t>
  </si>
  <si>
    <t>Oliver</t>
  </si>
  <si>
    <t>Sverre Kjellsberg and Mattis Hжtta</t>
  </si>
  <si>
    <t>Sбmiid Жdnan</t>
  </si>
  <si>
    <t>Finn Kalvik</t>
  </si>
  <si>
    <t>Aldri I Livet</t>
  </si>
  <si>
    <t>Jahn Teigen and Anita Skorgan</t>
  </si>
  <si>
    <t>Adieu</t>
  </si>
  <si>
    <t>Do Re Mi</t>
  </si>
  <si>
    <t>Dollie de Luxe</t>
  </si>
  <si>
    <t>Lenge Leve Livet</t>
  </si>
  <si>
    <t>Bobbysocks</t>
  </si>
  <si>
    <t>La Det Swinge</t>
  </si>
  <si>
    <t>Ketil Stokkan</t>
  </si>
  <si>
    <t>Romeo</t>
  </si>
  <si>
    <t>Kate Gulbrandsen</t>
  </si>
  <si>
    <t>Mitt Liv</t>
  </si>
  <si>
    <t>5 (21)</t>
  </si>
  <si>
    <t>Karoline Krьger</t>
  </si>
  <si>
    <t>For Vеr Jord</t>
  </si>
  <si>
    <t>17 (22)</t>
  </si>
  <si>
    <t>Britt Synnшve Johansen</t>
  </si>
  <si>
    <t>Venners Nжrhet</t>
  </si>
  <si>
    <t>Brandenburger Tor</t>
  </si>
  <si>
    <t>Just 4 Fun</t>
  </si>
  <si>
    <t>Mrs. Thompson</t>
  </si>
  <si>
    <t>Merethe Trшan</t>
  </si>
  <si>
    <t>Visjoner</t>
  </si>
  <si>
    <t>Silje Vige</t>
  </si>
  <si>
    <t>Alle Mine Tankar</t>
  </si>
  <si>
    <t>Elisabeth Andreasson and Jan Werner Danielsen</t>
  </si>
  <si>
    <t>Duett</t>
  </si>
  <si>
    <t>Secret Garden</t>
  </si>
  <si>
    <t>Nocturne</t>
  </si>
  <si>
    <t>Elisabeth Andreasson</t>
  </si>
  <si>
    <t>I Evighet</t>
  </si>
  <si>
    <t>Tor Endresen</t>
  </si>
  <si>
    <t>San Francisco</t>
  </si>
  <si>
    <t>Lars A. Fredriksen</t>
  </si>
  <si>
    <t>Alltid Sommer</t>
  </si>
  <si>
    <t>Stig Andrй Van Eijk</t>
  </si>
  <si>
    <t>Living My Life Without You</t>
  </si>
  <si>
    <t>Charmed</t>
  </si>
  <si>
    <t>My Heart Goes Boom</t>
  </si>
  <si>
    <t>Haldor Lжgreid</t>
  </si>
  <si>
    <t>On My Own</t>
  </si>
  <si>
    <t>Jostein Hasselgеrd</t>
  </si>
  <si>
    <t>I'm Not Afraid To Move On</t>
  </si>
  <si>
    <t>Knut Anders Sшrum</t>
  </si>
  <si>
    <t>High</t>
  </si>
  <si>
    <t>Wig Wam</t>
  </si>
  <si>
    <t>In My Dreams</t>
  </si>
  <si>
    <t>Christine Guldbrandsen</t>
  </si>
  <si>
    <t>Alvedansen</t>
  </si>
  <si>
    <t>Maria</t>
  </si>
  <si>
    <t>Hold On Be Strong</t>
  </si>
  <si>
    <t>Alexander Rybak</t>
  </si>
  <si>
    <t>Fairytale</t>
  </si>
  <si>
    <t>Didrik Solli-Tangen</t>
  </si>
  <si>
    <t>My Heart Is Yours</t>
  </si>
  <si>
    <t>Tooji</t>
  </si>
  <si>
    <t>Stay</t>
  </si>
  <si>
    <t>Margaret Berger</t>
  </si>
  <si>
    <t>I Feed You My Love</t>
  </si>
  <si>
    <t>Carl Espen</t>
  </si>
  <si>
    <t>Silent Storm</t>
  </si>
  <si>
    <t>8 (27)</t>
  </si>
  <si>
    <t>Mшrland &amp; Debrah Scarlett</t>
  </si>
  <si>
    <t>A Monster Like Me</t>
  </si>
  <si>
    <t>JOWST</t>
  </si>
  <si>
    <t>Grab The Moment</t>
  </si>
  <si>
    <t>That's How You Write A Song</t>
  </si>
  <si>
    <t>KEiiNO</t>
  </si>
  <si>
    <t>Spirit in the Sky</t>
  </si>
  <si>
    <t>TIX</t>
  </si>
  <si>
    <t>Fallen Angel</t>
  </si>
  <si>
    <t>Subwoolfer</t>
  </si>
  <si>
    <t>Give That Wolf A Banana</t>
  </si>
  <si>
    <t>Poland</t>
  </si>
  <si>
    <t>Edyta Gуrniak</t>
  </si>
  <si>
    <t>To Nie Ja!</t>
  </si>
  <si>
    <t>Justyna</t>
  </si>
  <si>
    <t>Sama</t>
  </si>
  <si>
    <t>Kasia Kowalska</t>
  </si>
  <si>
    <t>Chce Znac Swуj Grzech</t>
  </si>
  <si>
    <t>Anna Maria Jopek</t>
  </si>
  <si>
    <t>Ale Jestem</t>
  </si>
  <si>
    <t>Sixteen</t>
  </si>
  <si>
    <t>To Takie Proste</t>
  </si>
  <si>
    <t>Mietek (Mieczyslaw) Szczesniak</t>
  </si>
  <si>
    <t>Przytul Mnie Mocno</t>
  </si>
  <si>
    <t>Piasek</t>
  </si>
  <si>
    <t>2 Long</t>
  </si>
  <si>
    <t>Ich Troje</t>
  </si>
  <si>
    <t>Keine Grenzen - Zadnych Granic</t>
  </si>
  <si>
    <t>Blue Cafe</t>
  </si>
  <si>
    <t>Love Song</t>
  </si>
  <si>
    <t>Isis Gee</t>
  </si>
  <si>
    <t>For Life</t>
  </si>
  <si>
    <t>Donatan &amp; Cleo</t>
  </si>
  <si>
    <t>My S?owianie - We Are Slavic</t>
  </si>
  <si>
    <t>23 (27)</t>
  </si>
  <si>
    <t>Monika Kuszy?ska</t>
  </si>
  <si>
    <t>In The Name Of Love</t>
  </si>
  <si>
    <t>Micha? Szpak</t>
  </si>
  <si>
    <t>Color Of Your Life</t>
  </si>
  <si>
    <t>Kasia Mo?</t>
  </si>
  <si>
    <t>Flashlight</t>
  </si>
  <si>
    <t>Ochman</t>
  </si>
  <si>
    <t>River</t>
  </si>
  <si>
    <t>Portugal</t>
  </si>
  <si>
    <t>Antуnio Calvбrio</t>
  </si>
  <si>
    <t>Oraзгo</t>
  </si>
  <si>
    <t>Simone de Oliviera</t>
  </si>
  <si>
    <t>Sol De Inverno</t>
  </si>
  <si>
    <t>Madalena Iglesias</t>
  </si>
  <si>
    <t>Ele E Ela</t>
  </si>
  <si>
    <t>Eduardo Nascimento</t>
  </si>
  <si>
    <t>O Vento Mudou</t>
  </si>
  <si>
    <t>Carlos Mendes</t>
  </si>
  <si>
    <t>Verгo</t>
  </si>
  <si>
    <t>Simone de Oliveira</t>
  </si>
  <si>
    <t>Desfolhada Portuguesa</t>
  </si>
  <si>
    <t>Tonicha</t>
  </si>
  <si>
    <t>Menina Do Alto Da Serra</t>
  </si>
  <si>
    <t>A Festa Da Vida</t>
  </si>
  <si>
    <t>Fernando Tordo</t>
  </si>
  <si>
    <t>Tourada</t>
  </si>
  <si>
    <t>Paulo de Carvalho</t>
  </si>
  <si>
    <t>E Depois Do Adeus</t>
  </si>
  <si>
    <t>Duarte Mendes</t>
  </si>
  <si>
    <t>Madrugada</t>
  </si>
  <si>
    <t>Carlos do Carmo</t>
  </si>
  <si>
    <t>Uma Flor De Verde Pinho</t>
  </si>
  <si>
    <t>Os Amigos</t>
  </si>
  <si>
    <t>Portugal No Coraзгo</t>
  </si>
  <si>
    <t>Gemini</t>
  </si>
  <si>
    <t>Dai-li-dou</t>
  </si>
  <si>
    <t>Manuela Bravo</t>
  </si>
  <si>
    <t>Sobe, Sobe, Balгo Sobe</t>
  </si>
  <si>
    <t>Josй Cid</t>
  </si>
  <si>
    <t>Um Grande, Grande Amor</t>
  </si>
  <si>
    <t>Carlos Paiгo</t>
  </si>
  <si>
    <t>Play-back</t>
  </si>
  <si>
    <t>Doce</t>
  </si>
  <si>
    <t>Bem-bom</t>
  </si>
  <si>
    <t>Armando Gama</t>
  </si>
  <si>
    <t>Esta Balada Que Te Dou</t>
  </si>
  <si>
    <t>Maria Guinot</t>
  </si>
  <si>
    <t>Silкncio E Tanta Gente</t>
  </si>
  <si>
    <t>Adelaпde</t>
  </si>
  <si>
    <t>Penso Em Ti, Eu Sei</t>
  </si>
  <si>
    <t>Dora</t>
  </si>
  <si>
    <t>Nгo Sejas Mau Para Mim</t>
  </si>
  <si>
    <t>Nevada</t>
  </si>
  <si>
    <t>Neste Barco а Vela</t>
  </si>
  <si>
    <t>Voltarei</t>
  </si>
  <si>
    <t>Da Vinci</t>
  </si>
  <si>
    <t>Conquistador</t>
  </si>
  <si>
    <t>Nucha</t>
  </si>
  <si>
    <t>Hб Sempre Alguйm</t>
  </si>
  <si>
    <t>Dulce</t>
  </si>
  <si>
    <t>Lusitana Paixгo</t>
  </si>
  <si>
    <t>Dinб</t>
  </si>
  <si>
    <t>Amor D'бgua Fresca</t>
  </si>
  <si>
    <t>Anabela</t>
  </si>
  <si>
    <t>A Cidade Atй Ser Dia</t>
  </si>
  <si>
    <t>Sara Tavares</t>
  </si>
  <si>
    <t>Chamar A Mъsica</t>
  </si>
  <si>
    <t>Tу Cruz</t>
  </si>
  <si>
    <t>Baunilha E Chocolate</t>
  </si>
  <si>
    <t>Lъcia Moniz</t>
  </si>
  <si>
    <t>O Meu Coraзгo Nгo Tem Cor</t>
  </si>
  <si>
    <t>Cйlia Lawson</t>
  </si>
  <si>
    <t>Antes Do Adeus</t>
  </si>
  <si>
    <t>Alma Lusa</t>
  </si>
  <si>
    <t>Se Eu Te Pudesse Abraзar</t>
  </si>
  <si>
    <t>Rui Bandeira</t>
  </si>
  <si>
    <t>Como Tudo Comeзou</t>
  </si>
  <si>
    <t>MTM</t>
  </si>
  <si>
    <t>Sу Sei Ser Feliz Assim</t>
  </si>
  <si>
    <t>Rita Guerra</t>
  </si>
  <si>
    <t>Deixa-me Sonhar</t>
  </si>
  <si>
    <t>Vвnia Fernandes</t>
  </si>
  <si>
    <t>Senhora Do Mar (Negras Бguas)</t>
  </si>
  <si>
    <t>Flor-de-lis</t>
  </si>
  <si>
    <t>Todas As Ruas Do Amor</t>
  </si>
  <si>
    <t>Filipa Azevedo</t>
  </si>
  <si>
    <t>Hб Dias Assim</t>
  </si>
  <si>
    <t>Salvador Sobral</t>
  </si>
  <si>
    <t>Amar Pelos Dois</t>
  </si>
  <si>
    <t>Clбudia Pascoal</t>
  </si>
  <si>
    <t>O Jardim</t>
  </si>
  <si>
    <t>The Black Mamba</t>
  </si>
  <si>
    <t>Love Is On My Side</t>
  </si>
  <si>
    <t>MARO</t>
  </si>
  <si>
    <t>Saudade, Saudade</t>
  </si>
  <si>
    <t>Romania</t>
  </si>
  <si>
    <t>Dan Bittman</t>
  </si>
  <si>
    <t>Dincolo De Nori</t>
  </si>
  <si>
    <t>Malina Olinescu</t>
  </si>
  <si>
    <t>Eu Cred</t>
  </si>
  <si>
    <t>Taxi</t>
  </si>
  <si>
    <t>The Moon</t>
  </si>
  <si>
    <t>Monica Anghel &amp; Marcel Pavel</t>
  </si>
  <si>
    <t>Tell Me Why</t>
  </si>
  <si>
    <t>Nicola</t>
  </si>
  <si>
    <t>Don't Break My Heart</t>
  </si>
  <si>
    <t>Sanda Ladosi</t>
  </si>
  <si>
    <t>I Admit</t>
  </si>
  <si>
    <t>Luminita Anghel &amp; Sistem</t>
  </si>
  <si>
    <t>Let Me Try</t>
  </si>
  <si>
    <t>Mihai Traistariu</t>
  </si>
  <si>
    <t>Tornero</t>
  </si>
  <si>
    <t>Todomondo</t>
  </si>
  <si>
    <t>Liubi, Liubi, I Love You</t>
  </si>
  <si>
    <t>Nico &amp; Vlad</t>
  </si>
  <si>
    <t>Pe-o Margine De Lume</t>
  </si>
  <si>
    <t>Elena</t>
  </si>
  <si>
    <t>The Balkan Girls</t>
  </si>
  <si>
    <t>Paula Seling &amp; Ovi</t>
  </si>
  <si>
    <t>Playing With Fire</t>
  </si>
  <si>
    <t>Hotel FM</t>
  </si>
  <si>
    <t>Change</t>
  </si>
  <si>
    <t>Mandinga</t>
  </si>
  <si>
    <t>Zaleilah</t>
  </si>
  <si>
    <t>Cezar</t>
  </si>
  <si>
    <t>It's My Life</t>
  </si>
  <si>
    <t>Paula Seling &amp; OVI</t>
  </si>
  <si>
    <t>15 (27)</t>
  </si>
  <si>
    <t>Voltaj</t>
  </si>
  <si>
    <t>De La Capat / All Over Again</t>
  </si>
  <si>
    <t>Ilinca ft. Alex Florea</t>
  </si>
  <si>
    <t>Yodel It!</t>
  </si>
  <si>
    <t>WRS</t>
  </si>
  <si>
    <t>Llбmame</t>
  </si>
  <si>
    <t>Russia</t>
  </si>
  <si>
    <t>Youddiph</t>
  </si>
  <si>
    <t>Vechni Stranik</t>
  </si>
  <si>
    <t>Philipp Kirkorov</t>
  </si>
  <si>
    <t>Kolybelnaya Dlya Vulkana</t>
  </si>
  <si>
    <t>Alla Pugachova</t>
  </si>
  <si>
    <t>Primadonna</t>
  </si>
  <si>
    <t>Alsou</t>
  </si>
  <si>
    <t>Solo</t>
  </si>
  <si>
    <t>Mumiy troll</t>
  </si>
  <si>
    <t>Lady Alpine Blue</t>
  </si>
  <si>
    <t>Prime minister</t>
  </si>
  <si>
    <t>Northern Girl</t>
  </si>
  <si>
    <t>t.A.T.u.</t>
  </si>
  <si>
    <t>Ne Ver', Ne Boisia</t>
  </si>
  <si>
    <t>Julia Savicheva</t>
  </si>
  <si>
    <t>Believe Me</t>
  </si>
  <si>
    <t>Natalia Podolskaya</t>
  </si>
  <si>
    <t>Nobody Hurt No One</t>
  </si>
  <si>
    <t>Dima Bilan</t>
  </si>
  <si>
    <t>Serebro</t>
  </si>
  <si>
    <t>Song # 1</t>
  </si>
  <si>
    <t>Believe</t>
  </si>
  <si>
    <t>Anastasia Prikhodko</t>
  </si>
  <si>
    <t>Mamo</t>
  </si>
  <si>
    <t>Peter Nalitch &amp; Friends</t>
  </si>
  <si>
    <t>Lost And Forgotten</t>
  </si>
  <si>
    <t>Alexej Vorobjov</t>
  </si>
  <si>
    <t>Get You</t>
  </si>
  <si>
    <t>Buranovskiye Babushki</t>
  </si>
  <si>
    <t>Party For Everybody</t>
  </si>
  <si>
    <t>Dina Garipova</t>
  </si>
  <si>
    <t>What If</t>
  </si>
  <si>
    <t>Tolmachevy Sisters</t>
  </si>
  <si>
    <t>2 (27)</t>
  </si>
  <si>
    <t>Polina Gagarina</t>
  </si>
  <si>
    <t>A Million Voices</t>
  </si>
  <si>
    <t>Sergey Lazarev</t>
  </si>
  <si>
    <t>Scream</t>
  </si>
  <si>
    <t>Manizha</t>
  </si>
  <si>
    <t>Russian Woman</t>
  </si>
  <si>
    <t>San Marino</t>
  </si>
  <si>
    <t>Valentina Monetta</t>
  </si>
  <si>
    <t>Maybe (Forse)</t>
  </si>
  <si>
    <t>Serhat</t>
  </si>
  <si>
    <t>Say Na Na Na</t>
  </si>
  <si>
    <t>Senhit</t>
  </si>
  <si>
    <t>Adrenalina</t>
  </si>
  <si>
    <t>Serbia</t>
  </si>
  <si>
    <t>Marija Љerifovi?</t>
  </si>
  <si>
    <t>Molitva</t>
  </si>
  <si>
    <t>Jelena Tomaљevi? feat. Bora Dugic</t>
  </si>
  <si>
    <t>Oro</t>
  </si>
  <si>
    <t>Milan Stankovi?</t>
  </si>
  <si>
    <t>Ovo Je Balkan</t>
  </si>
  <si>
    <t>?aroban</t>
  </si>
  <si>
    <t>Ћeljko Joksimovi?</t>
  </si>
  <si>
    <t>Nije Ljubav Stvar</t>
  </si>
  <si>
    <t>10 (27)</t>
  </si>
  <si>
    <t>Bojana Stamenov</t>
  </si>
  <si>
    <t>Beauty Never Lies</t>
  </si>
  <si>
    <t>Sanja Vu?i? ZAA</t>
  </si>
  <si>
    <t>Goodbye (Shelter)</t>
  </si>
  <si>
    <t>Sanja Ili? &amp; Balkanika</t>
  </si>
  <si>
    <t>Nova Deca</t>
  </si>
  <si>
    <t>Nevena Boћovi?</t>
  </si>
  <si>
    <t>Kruna</t>
  </si>
  <si>
    <t>Loco Loco</t>
  </si>
  <si>
    <t>Konstrakta</t>
  </si>
  <si>
    <t>In Corpore Sano</t>
  </si>
  <si>
    <t>Serbia Montenegro</t>
  </si>
  <si>
    <t>Lane Moje</t>
  </si>
  <si>
    <t>No Name</t>
  </si>
  <si>
    <t>Zauvijek Moja</t>
  </si>
  <si>
    <t>Slovakia</t>
  </si>
  <si>
    <t>Martin Durinda and Tublatanka</t>
  </si>
  <si>
    <t>Nekovecnб Piesen</t>
  </si>
  <si>
    <t>Marcel Palonder</t>
  </si>
  <si>
    <t>Kэm Nбs Mбљ</t>
  </si>
  <si>
    <t>Katarнna Hasprovб</t>
  </si>
  <si>
    <t>Modlitba</t>
  </si>
  <si>
    <t>Slovenia</t>
  </si>
  <si>
    <t>1X Band</t>
  </si>
  <si>
    <t>Tih Dezeven Dan</t>
  </si>
  <si>
    <t>Darja Svajger</t>
  </si>
  <si>
    <t>Prisluhni Mi</t>
  </si>
  <si>
    <t>Dan najlepљih sanj</t>
  </si>
  <si>
    <t>Tanja Ribic</t>
  </si>
  <si>
    <t>Zbudi Se</t>
  </si>
  <si>
    <t>Vili Resnik</t>
  </si>
  <si>
    <t>Naj Bogovi Sliљijo</t>
  </si>
  <si>
    <t>For A Thousand Years</t>
  </si>
  <si>
    <t>Nuљa Derenda</t>
  </si>
  <si>
    <t>Energy</t>
  </si>
  <si>
    <t>Sestre</t>
  </si>
  <si>
    <t>Samo Ljubezen</t>
  </si>
  <si>
    <t>Karmen</t>
  </si>
  <si>
    <t>Nanana</t>
  </si>
  <si>
    <t>Alenka Gotar</t>
  </si>
  <si>
    <t>Cvet Z Juga</t>
  </si>
  <si>
    <t>Maja Keuc</t>
  </si>
  <si>
    <t>No One</t>
  </si>
  <si>
    <t>Tinkara Kova?</t>
  </si>
  <si>
    <t>Round and round</t>
  </si>
  <si>
    <t>14 (27)</t>
  </si>
  <si>
    <t>Maraaya</t>
  </si>
  <si>
    <t>Here For You</t>
  </si>
  <si>
    <t>Lea Sirk</t>
  </si>
  <si>
    <t>Hvala, ne!</t>
  </si>
  <si>
    <t>Zala Kralj &amp; Gaљper Љantl</t>
  </si>
  <si>
    <t>Sebi</t>
  </si>
  <si>
    <t>Spain</t>
  </si>
  <si>
    <t>Conchita Bautista</t>
  </si>
  <si>
    <t>Estando Contigo</t>
  </si>
  <si>
    <t>Victor Balaguer</t>
  </si>
  <si>
    <t>Josй Guardiola</t>
  </si>
  <si>
    <t>Algo Prodigioso</t>
  </si>
  <si>
    <t>Tim, Nelly and Tony</t>
  </si>
  <si>
    <t>Caracola</t>
  </si>
  <si>
    <t>Quй Bueno, Quй Bueno</t>
  </si>
  <si>
    <t>Raphael</t>
  </si>
  <si>
    <t>Yo Soy Aquйl</t>
  </si>
  <si>
    <t>Hablemos Del Amor</t>
  </si>
  <si>
    <t>Massiel</t>
  </si>
  <si>
    <t>La, La, La...</t>
  </si>
  <si>
    <t>Salomй</t>
  </si>
  <si>
    <t>Vivo Cantando</t>
  </si>
  <si>
    <t>Julio Iglesias</t>
  </si>
  <si>
    <t>Gwendolyne</t>
  </si>
  <si>
    <t>Karina</t>
  </si>
  <si>
    <t>En Un Mundo Nuevo</t>
  </si>
  <si>
    <t>Jaime Morey</t>
  </si>
  <si>
    <t>Amanece</t>
  </si>
  <si>
    <t>Mocedades</t>
  </si>
  <si>
    <t>Eres Tъ</t>
  </si>
  <si>
    <t>Peret</t>
  </si>
  <si>
    <t>Canta Y Se Feliz</t>
  </si>
  <si>
    <t>Sergio y Estнbaliz</t>
  </si>
  <si>
    <t>Tъ Volverбs</t>
  </si>
  <si>
    <t>Braulio</t>
  </si>
  <si>
    <t>Sobran Las Palabras</t>
  </si>
  <si>
    <t>Micky</t>
  </si>
  <si>
    <t>Enseсame A Cantar</t>
  </si>
  <si>
    <t>Josй Vйlez</t>
  </si>
  <si>
    <t>Bailemos Un Vals</t>
  </si>
  <si>
    <t>Betty Missiego</t>
  </si>
  <si>
    <t>Su Canciуn</t>
  </si>
  <si>
    <t>Trigo Limpio</t>
  </si>
  <si>
    <t>Quй Date Esta Noche</t>
  </si>
  <si>
    <t>Bacchelli</t>
  </si>
  <si>
    <t>Y Solo Tъ</t>
  </si>
  <si>
    <t>Lucнa</t>
  </si>
  <si>
    <t>Йl</t>
  </si>
  <si>
    <t>Remedios Amaya</t>
  </si>
  <si>
    <t>їquiйn Maneja Mi Barca?</t>
  </si>
  <si>
    <t>Bravo</t>
  </si>
  <si>
    <t>Lady, Lady</t>
  </si>
  <si>
    <t>Paloma San Basilio</t>
  </si>
  <si>
    <t>La Fiesta Terminу</t>
  </si>
  <si>
    <t>10 (20)</t>
  </si>
  <si>
    <t>Cadillac</t>
  </si>
  <si>
    <t>Valentino</t>
  </si>
  <si>
    <t>Patricia Kraus</t>
  </si>
  <si>
    <t>No Estбs Solo</t>
  </si>
  <si>
    <t>11 (21)</t>
  </si>
  <si>
    <t>La Dйcada</t>
  </si>
  <si>
    <t>La Chica Que Yo Quiero (made In Spain)</t>
  </si>
  <si>
    <t>Nacida Para Amar</t>
  </si>
  <si>
    <t>Azъcar Moreno</t>
  </si>
  <si>
    <t>Bandido</t>
  </si>
  <si>
    <t>Sergio Dalma</t>
  </si>
  <si>
    <t>Bailar Pegados</t>
  </si>
  <si>
    <t>Serafin</t>
  </si>
  <si>
    <t>Todo Esto Es La Mъsica</t>
  </si>
  <si>
    <t>Eva Santamaria</t>
  </si>
  <si>
    <t>Hombres</t>
  </si>
  <si>
    <t>Alejandro Abad</t>
  </si>
  <si>
    <t>Ella No Es Ella</t>
  </si>
  <si>
    <t>Anabel Conde</t>
  </si>
  <si>
    <t>Vuelve Conmigo</t>
  </si>
  <si>
    <t>Antonio Carbonell</t>
  </si>
  <si>
    <t>Ўay, Quй Deseo!</t>
  </si>
  <si>
    <t>Marcos Llunas</t>
  </si>
  <si>
    <t>Sin Rencor</t>
  </si>
  <si>
    <t>Mikel Herzog</t>
  </si>
  <si>
    <t>їQuй Voy A Hacer Sin Ti?</t>
  </si>
  <si>
    <t>Lydia</t>
  </si>
  <si>
    <t>No Quiero Escuchar</t>
  </si>
  <si>
    <t>Serafнn Zubiri</t>
  </si>
  <si>
    <t>Colgado De Un Sueсo</t>
  </si>
  <si>
    <t>David Civera</t>
  </si>
  <si>
    <t>Dile Que La Quiero</t>
  </si>
  <si>
    <t>Rosa</t>
  </si>
  <si>
    <t>Europe's Living A Celebration</t>
  </si>
  <si>
    <t>Beth</t>
  </si>
  <si>
    <t>Dime</t>
  </si>
  <si>
    <t>Ramуn</t>
  </si>
  <si>
    <t>Para Llenarme De Ti</t>
  </si>
  <si>
    <t>Son de sol</t>
  </si>
  <si>
    <t>Brujerнa</t>
  </si>
  <si>
    <t>Las Ketchup</t>
  </si>
  <si>
    <t>Bloody Mary</t>
  </si>
  <si>
    <t>NASH</t>
  </si>
  <si>
    <t>I Love You Mi Vida</t>
  </si>
  <si>
    <t>Rodolfo Chikilicuatre</t>
  </si>
  <si>
    <t>Baila El Chiki Chiki</t>
  </si>
  <si>
    <t>Soraya</t>
  </si>
  <si>
    <t>La Noche Es Para Mн (The Night Is For Me)</t>
  </si>
  <si>
    <t>Daniel Diges</t>
  </si>
  <si>
    <t>Algo Pequeсito</t>
  </si>
  <si>
    <t>Lucнa Pйrez</t>
  </si>
  <si>
    <t>Que Me Quiten Lo Bailao - They Can't Take The Fun Away From Me</t>
  </si>
  <si>
    <t>Pastora Soler</t>
  </si>
  <si>
    <t>Quйdate Conmigo (Stay With Me)</t>
  </si>
  <si>
    <t>ESDM</t>
  </si>
  <si>
    <t>Contigo Hasta El Final (With You Until The End)</t>
  </si>
  <si>
    <t>Ruth Lorenzo</t>
  </si>
  <si>
    <t>Dancing in the rain</t>
  </si>
  <si>
    <t>21 (27)</t>
  </si>
  <si>
    <t>Edurne</t>
  </si>
  <si>
    <t>Amanecer</t>
  </si>
  <si>
    <t>Barei</t>
  </si>
  <si>
    <t>Say Yay!</t>
  </si>
  <si>
    <t>Manel Navarro</t>
  </si>
  <si>
    <t>Do It For Your Lover</t>
  </si>
  <si>
    <t>Amaia y Alfred</t>
  </si>
  <si>
    <t>Tu Canciуn</t>
  </si>
  <si>
    <t>Miki</t>
  </si>
  <si>
    <t>La Venda</t>
  </si>
  <si>
    <t>Blas Cantу</t>
  </si>
  <si>
    <t>Voy A Quedarme</t>
  </si>
  <si>
    <t>Chanel</t>
  </si>
  <si>
    <t>SloMo</t>
  </si>
  <si>
    <t>Sweden</t>
  </si>
  <si>
    <t>Alice Babs</t>
  </si>
  <si>
    <t>Lilla Stjдrna</t>
  </si>
  <si>
    <t>Brita Borg</t>
  </si>
  <si>
    <t>Augustin</t>
  </si>
  <si>
    <t>Alla Andra Fеr Varann</t>
  </si>
  <si>
    <t>14 (16)</t>
  </si>
  <si>
    <t>Lill-Babs</t>
  </si>
  <si>
    <t>April, April</t>
  </si>
  <si>
    <t>Inger Berggren</t>
  </si>
  <si>
    <t>Sol Och Vеr</t>
  </si>
  <si>
    <t>Monica Zetterlund</t>
  </si>
  <si>
    <t>En Gеng I Stockholm</t>
  </si>
  <si>
    <t>Ingvar Wixell</t>
  </si>
  <si>
    <t>Absent Friend</t>
  </si>
  <si>
    <t>Lill Lindfors and Svante Thuresson</t>
  </si>
  <si>
    <t>Nygammal Vals Eller Hip Man Svinaherde</t>
  </si>
  <si>
    <t>Цsten Warnebring</t>
  </si>
  <si>
    <t>Som En Drцm</t>
  </si>
  <si>
    <t>Claes-Gцran Hederstrцm</t>
  </si>
  <si>
    <t>Det Bцrjar Verka Kдrlek, Banne Mej</t>
  </si>
  <si>
    <t>Tommy Kцrberg</t>
  </si>
  <si>
    <t>Judy, Min Vдn</t>
  </si>
  <si>
    <t>Family Four</t>
  </si>
  <si>
    <t>Vita Vidder</t>
  </si>
  <si>
    <t>Hдrliga Sommardag</t>
  </si>
  <si>
    <t>The Nova and The Dolls</t>
  </si>
  <si>
    <t>You're Summer</t>
  </si>
  <si>
    <t>ABBA</t>
  </si>
  <si>
    <t>Waterloo</t>
  </si>
  <si>
    <t>Lars Berghagen and the Dolls</t>
  </si>
  <si>
    <t>Jennie, Jennie</t>
  </si>
  <si>
    <t>Forbes</t>
  </si>
  <si>
    <t>Beatles</t>
  </si>
  <si>
    <t>Bjцrn Skifs</t>
  </si>
  <si>
    <t>Det Blir Alltid Vдrre Framеt Natten</t>
  </si>
  <si>
    <t>Ted Gдrdestad</t>
  </si>
  <si>
    <t>Satellit</t>
  </si>
  <si>
    <t>Tomas Ledin</t>
  </si>
  <si>
    <t>Just Nu!</t>
  </si>
  <si>
    <t>Fеngad I En Drцm</t>
  </si>
  <si>
    <t>Chips</t>
  </si>
  <si>
    <t>Dag Efter Dag</t>
  </si>
  <si>
    <t>Carola Hдggkvist</t>
  </si>
  <si>
    <t>Frдmling</t>
  </si>
  <si>
    <t>Herrey's</t>
  </si>
  <si>
    <t>Diggi-loo Diggy-ley</t>
  </si>
  <si>
    <t>Kikki Danielsson</t>
  </si>
  <si>
    <t>Bra Vibrationer</t>
  </si>
  <si>
    <t>Lasse Holm and Monica Tцrnell</t>
  </si>
  <si>
    <t>E' De' Det Hдr Du Kallar Kдrlek</t>
  </si>
  <si>
    <t>Lotta Engberg</t>
  </si>
  <si>
    <t>Boogaloo</t>
  </si>
  <si>
    <t>Stad I Ljus</t>
  </si>
  <si>
    <t>Tommy Nilsson</t>
  </si>
  <si>
    <t>En Dag</t>
  </si>
  <si>
    <t>Edin-Еdahl</t>
  </si>
  <si>
    <t>Som En Vind</t>
  </si>
  <si>
    <t>Carola</t>
  </si>
  <si>
    <t>Fеngad Av En Stormvind</t>
  </si>
  <si>
    <t>Christer Bjцrkmann</t>
  </si>
  <si>
    <t>I Morgon дr En Annan Dag</t>
  </si>
  <si>
    <t>Arvingarna</t>
  </si>
  <si>
    <t>Eloпse</t>
  </si>
  <si>
    <t>Marie Bergman and Roger Pontare</t>
  </si>
  <si>
    <t>Stjдrnorna</t>
  </si>
  <si>
    <t>Jan Johansen</t>
  </si>
  <si>
    <t>Se Pе Mej</t>
  </si>
  <si>
    <t>One More Time</t>
  </si>
  <si>
    <t>Den Vilda</t>
  </si>
  <si>
    <t>Blond</t>
  </si>
  <si>
    <t>Bara Hon дlskar Mig</t>
  </si>
  <si>
    <t>Jill Johnson</t>
  </si>
  <si>
    <t>Kдrleken дr</t>
  </si>
  <si>
    <t>Charlotte Nilsson</t>
  </si>
  <si>
    <t>Take Me To Your Heaven</t>
  </si>
  <si>
    <t>Roger Pontare</t>
  </si>
  <si>
    <t>When Spirits Are Calling My Name</t>
  </si>
  <si>
    <t>Friends</t>
  </si>
  <si>
    <t>Listen To Your Heartbeat</t>
  </si>
  <si>
    <t>Afro-dite</t>
  </si>
  <si>
    <t>Never Let It Go</t>
  </si>
  <si>
    <t>Fame</t>
  </si>
  <si>
    <t>Give Me Your Love</t>
  </si>
  <si>
    <t>Lena Philipsson</t>
  </si>
  <si>
    <t>It Hurts</t>
  </si>
  <si>
    <t>Martin Stenmarck</t>
  </si>
  <si>
    <t>Las Vegas</t>
  </si>
  <si>
    <t>Invincible</t>
  </si>
  <si>
    <t>The Ark</t>
  </si>
  <si>
    <t>The Worrying Kind</t>
  </si>
  <si>
    <t>Charlotte Perrelli</t>
  </si>
  <si>
    <t>Hero</t>
  </si>
  <si>
    <t>Malena Ernman</t>
  </si>
  <si>
    <t>La Voix</t>
  </si>
  <si>
    <t>Eric Saade</t>
  </si>
  <si>
    <t>Popular</t>
  </si>
  <si>
    <t>Loreen</t>
  </si>
  <si>
    <t>Euphoria</t>
  </si>
  <si>
    <t>Robin Stjernberg</t>
  </si>
  <si>
    <t>You</t>
  </si>
  <si>
    <t>Sanna Nielsen</t>
  </si>
  <si>
    <t>Undo</t>
  </si>
  <si>
    <t>1 (27)</t>
  </si>
  <si>
    <t>Mеns Zelmerlцw</t>
  </si>
  <si>
    <t>Heroes</t>
  </si>
  <si>
    <t>Frans</t>
  </si>
  <si>
    <t>If I Were Sorry</t>
  </si>
  <si>
    <t>Robin Bengtsson</t>
  </si>
  <si>
    <t>I Can't Go On</t>
  </si>
  <si>
    <t>Benjamin Ingrosso</t>
  </si>
  <si>
    <t>Dance You Off</t>
  </si>
  <si>
    <t>John Lundvik</t>
  </si>
  <si>
    <t>Too Late For Love</t>
  </si>
  <si>
    <t>Tusse</t>
  </si>
  <si>
    <t>Voices</t>
  </si>
  <si>
    <t>Cornelia Jakobs</t>
  </si>
  <si>
    <t>Hold Me Closer</t>
  </si>
  <si>
    <t>Switzerland</t>
  </si>
  <si>
    <t>Lys Assia</t>
  </si>
  <si>
    <t>L'enfant Que J'йtais</t>
  </si>
  <si>
    <t>Giorgio</t>
  </si>
  <si>
    <t>4 (11)</t>
  </si>
  <si>
    <t>Christa Williams</t>
  </si>
  <si>
    <t>Irgendwoher</t>
  </si>
  <si>
    <t>Anita Traversi</t>
  </si>
  <si>
    <t>Cielo E Terra</t>
  </si>
  <si>
    <t>Franca di Rienzo</t>
  </si>
  <si>
    <t>Nous Aurons Demain</t>
  </si>
  <si>
    <t>Le Retour</t>
  </si>
  <si>
    <t>Esther Ofarim</t>
  </si>
  <si>
    <t>T'en Va Pas</t>
  </si>
  <si>
    <t>I Miei Pensieri</t>
  </si>
  <si>
    <t>Yovanna</t>
  </si>
  <si>
    <t>Non а Jamais Sans Toi</t>
  </si>
  <si>
    <t>Madeleine Pascal</t>
  </si>
  <si>
    <t>Ne Vois-tu Pas?</t>
  </si>
  <si>
    <t>Quel Coeur Vas-tu Briser?</t>
  </si>
  <si>
    <t>Gianni Mascolo</t>
  </si>
  <si>
    <t>Guardando Il Sole</t>
  </si>
  <si>
    <t>Paola del Medico</t>
  </si>
  <si>
    <t>Bonjour, Bonjour</t>
  </si>
  <si>
    <t>Henri Dиs</t>
  </si>
  <si>
    <t>Retour</t>
  </si>
  <si>
    <t>Peter, Sue and Marc</t>
  </si>
  <si>
    <t>Les Illusions De Nos Vingt Ans</t>
  </si>
  <si>
    <t>Vйronique Mьller</t>
  </si>
  <si>
    <t>C'est La Chanson De Mon Amour</t>
  </si>
  <si>
    <t>Patrick Juvet</t>
  </si>
  <si>
    <t>Je Me Vais Marier, Marie</t>
  </si>
  <si>
    <t>Piera Martell</t>
  </si>
  <si>
    <t>Mein Ruf Nach Dir</t>
  </si>
  <si>
    <t>Simone Drexel</t>
  </si>
  <si>
    <t>Mikado</t>
  </si>
  <si>
    <t>Djambo, Djambo</t>
  </si>
  <si>
    <t>Pepe Lienhard Band</t>
  </si>
  <si>
    <t>Swiss Lady</t>
  </si>
  <si>
    <t>Carole Vinci</t>
  </si>
  <si>
    <t>Peter, Sue and Marc and Pfuri, Gorps and Kniri</t>
  </si>
  <si>
    <t>Trцdler Und Co.</t>
  </si>
  <si>
    <t>Paola</t>
  </si>
  <si>
    <t>Cinйma</t>
  </si>
  <si>
    <t>Io Senza Tei</t>
  </si>
  <si>
    <t>Arlette Zola</t>
  </si>
  <si>
    <t>Amour On T'aime</t>
  </si>
  <si>
    <t>Mariella Farrй</t>
  </si>
  <si>
    <t>Io Cosм Non Ci Sto</t>
  </si>
  <si>
    <t>Rainy Day</t>
  </si>
  <si>
    <t>Welche Farbe Hat Der Sonnenschein</t>
  </si>
  <si>
    <t>Mariella Farrй and Pino Gasparini</t>
  </si>
  <si>
    <t>Piano Piano</t>
  </si>
  <si>
    <t>Daniela Simons</t>
  </si>
  <si>
    <t>Pas Pour Moi</t>
  </si>
  <si>
    <t>Carole Rich</t>
  </si>
  <si>
    <t>Moitiй Moitiй</t>
  </si>
  <si>
    <t>1 (21)</t>
  </si>
  <si>
    <t>Cйline Dion</t>
  </si>
  <si>
    <t>Ne Partez Pas Sans Moi</t>
  </si>
  <si>
    <t>Furbaz</t>
  </si>
  <si>
    <t>Viver Senza Tei</t>
  </si>
  <si>
    <t>Egon Egemann</t>
  </si>
  <si>
    <t>Musik Klingt In Die Welt Hinaus</t>
  </si>
  <si>
    <t>Sandra Simт</t>
  </si>
  <si>
    <t>Canzone Per Te</t>
  </si>
  <si>
    <t>Daisy Auvray</t>
  </si>
  <si>
    <t>Mister Music Man</t>
  </si>
  <si>
    <t>Annie Cotton</t>
  </si>
  <si>
    <t>Moi, Tout Simplement</t>
  </si>
  <si>
    <t>Duilio</t>
  </si>
  <si>
    <t>Sto Pregando</t>
  </si>
  <si>
    <t>Cathy Leander</t>
  </si>
  <si>
    <t>Mon Coeur L'aime</t>
  </si>
  <si>
    <t>Barbara Berta</t>
  </si>
  <si>
    <t>Dentro Di Me</t>
  </si>
  <si>
    <t>Gunvor</t>
  </si>
  <si>
    <t>Lass Ihn</t>
  </si>
  <si>
    <t>Jane Bogaert</t>
  </si>
  <si>
    <t>La Vita Cos'и?</t>
  </si>
  <si>
    <t>Francine Jordi</t>
  </si>
  <si>
    <t>Dans Le Jardin De Mon Вme</t>
  </si>
  <si>
    <t>Vanilla Ninja</t>
  </si>
  <si>
    <t>Cool Vibes</t>
  </si>
  <si>
    <t>Six4One</t>
  </si>
  <si>
    <t>If We All Give A Little</t>
  </si>
  <si>
    <t>Anna Rossinelli</t>
  </si>
  <si>
    <t>In Love For A While</t>
  </si>
  <si>
    <t>Sebalter</t>
  </si>
  <si>
    <t>Hunter Of Stars</t>
  </si>
  <si>
    <t>Luca Hдnni</t>
  </si>
  <si>
    <t>She Got Me</t>
  </si>
  <si>
    <t>Gjon's Tears</t>
  </si>
  <si>
    <t>Tout l'Univers</t>
  </si>
  <si>
    <t>Marius Bear</t>
  </si>
  <si>
    <t>Boys Do Cry</t>
  </si>
  <si>
    <t>Turkey</t>
  </si>
  <si>
    <t>Semiha Yanki</t>
  </si>
  <si>
    <t>Seninle Bir Dakika</t>
  </si>
  <si>
    <t>Nazar</t>
  </si>
  <si>
    <t>Sevinзe</t>
  </si>
  <si>
    <t>Ajda Pekkan</t>
  </si>
  <si>
    <t>Petr'oil</t>
  </si>
  <si>
    <t>Modern Folk Trio and Aysegьl</t>
  </si>
  <si>
    <t>Dцnme Dolap</t>
  </si>
  <si>
    <t>Neзo</t>
  </si>
  <si>
    <t>Hani</t>
  </si>
  <si>
    <t>Зetin Alp and the Short Wave</t>
  </si>
  <si>
    <t>Opera</t>
  </si>
  <si>
    <t>Bes Yil Цnce, On Yil Sonra</t>
  </si>
  <si>
    <t>Halay</t>
  </si>
  <si>
    <t>MFЦ</t>
  </si>
  <si>
    <t>Di Dai Di Dai Dai (a'sik Oldum)</t>
  </si>
  <si>
    <t>Klips ve Onlar</t>
  </si>
  <si>
    <t>Halley</t>
  </si>
  <si>
    <t>Seyyal Tanner and Lokomotif</t>
  </si>
  <si>
    <t>Sarkim Sevgi ьstьne</t>
  </si>
  <si>
    <t>15 (21)</t>
  </si>
  <si>
    <t>Sufi (hey Ya Hey)</t>
  </si>
  <si>
    <t>Pan</t>
  </si>
  <si>
    <t>Bana Bana</t>
  </si>
  <si>
    <t>Kayahan</t>
  </si>
  <si>
    <t>Gцzlerinin Hapsindeyim</t>
  </si>
  <si>
    <t>Izel Зelikцz, Rayhan Soykarзi and Can Ugurluйr</t>
  </si>
  <si>
    <t>Iki Dakika</t>
  </si>
  <si>
    <t>Aylin Vatankos</t>
  </si>
  <si>
    <t>Yaz Bitti</t>
  </si>
  <si>
    <t>Burak Aydos, Цztьrk Baybora &amp; Serter</t>
  </si>
  <si>
    <t>Esmer Yarim</t>
  </si>
  <si>
    <t>Arzu Ece</t>
  </si>
  <si>
    <t>Sev!</t>
  </si>
  <si>
    <t>Sebnem Paker</t>
  </si>
  <si>
    <t>Besinзi Mevsim</t>
  </si>
  <si>
    <t>Sebnem Paker and Group Etnic</t>
  </si>
  <si>
    <t>Dinle</t>
  </si>
  <si>
    <t>Tьzmen</t>
  </si>
  <si>
    <t>Unutamazsin</t>
  </si>
  <si>
    <t>Tuba Цnal &amp; Grup Mystik</t>
  </si>
  <si>
    <t>Dцn Artik</t>
  </si>
  <si>
    <t>Pinar Ayhan &amp; S.O.S. band</t>
  </si>
  <si>
    <t>Yorgunum Anla</t>
  </si>
  <si>
    <t>Sedat Yьce</t>
  </si>
  <si>
    <t>Sevgiliye Son</t>
  </si>
  <si>
    <t>Buket Bengisu &amp; Saphire</t>
  </si>
  <si>
    <t>Leylaklar Soldu Kalbinde</t>
  </si>
  <si>
    <t>Sertab Erener</t>
  </si>
  <si>
    <t>Everyway That I Can</t>
  </si>
  <si>
    <t>Athena</t>
  </si>
  <si>
    <t>For Real</t>
  </si>
  <si>
    <t>Gьlseren</t>
  </si>
  <si>
    <t>Rimi Rimi Ley</t>
  </si>
  <si>
    <t>Sibel Tьzьn</t>
  </si>
  <si>
    <t>Superstar</t>
  </si>
  <si>
    <t>Kenan Dogulu</t>
  </si>
  <si>
    <t>Shake It Up Shekerim</t>
  </si>
  <si>
    <t>Mor ve Цtesi</t>
  </si>
  <si>
    <t>Deli</t>
  </si>
  <si>
    <t>Hadise</t>
  </si>
  <si>
    <t>Dьm Tek Tek</t>
  </si>
  <si>
    <t>maNga</t>
  </si>
  <si>
    <t>We Could Be The Same</t>
  </si>
  <si>
    <t>Can Bonomo</t>
  </si>
  <si>
    <t>Love Me Back</t>
  </si>
  <si>
    <t>Ukraine</t>
  </si>
  <si>
    <t>Olexandr</t>
  </si>
  <si>
    <t>Hasta La Vista</t>
  </si>
  <si>
    <t>Ruslana</t>
  </si>
  <si>
    <t>Wild Dances</t>
  </si>
  <si>
    <t>Greenjolly</t>
  </si>
  <si>
    <t>Razom Nas Bahato</t>
  </si>
  <si>
    <t>Tina Karol</t>
  </si>
  <si>
    <t>Show Me Your Love</t>
  </si>
  <si>
    <t>Verka Serduchka</t>
  </si>
  <si>
    <t>Dancing Lasha Tumbai</t>
  </si>
  <si>
    <t>Ani Lorak</t>
  </si>
  <si>
    <t>Shady Lady</t>
  </si>
  <si>
    <t>Svetlana Loboda</t>
  </si>
  <si>
    <t>Be my Valentine! (Anti-crisis Girl)</t>
  </si>
  <si>
    <t>Alyosha</t>
  </si>
  <si>
    <t>Sweet People</t>
  </si>
  <si>
    <t>Mika Newton</t>
  </si>
  <si>
    <t>Gaitana</t>
  </si>
  <si>
    <t>Be My Guest</t>
  </si>
  <si>
    <t>Zlata Ognevich</t>
  </si>
  <si>
    <t>Mariya Yaremchuk</t>
  </si>
  <si>
    <t>Tick - Tock</t>
  </si>
  <si>
    <t>Jamala</t>
  </si>
  <si>
    <t>O.Torvald</t>
  </si>
  <si>
    <t>Time</t>
  </si>
  <si>
    <t>MELOVIN</t>
  </si>
  <si>
    <t>Under The Ladder</t>
  </si>
  <si>
    <t>Go_A</t>
  </si>
  <si>
    <t>Shum</t>
  </si>
  <si>
    <t>Kalush Orchestra</t>
  </si>
  <si>
    <t>United Kingdom</t>
  </si>
  <si>
    <t>Patricia Bredin</t>
  </si>
  <si>
    <t>All</t>
  </si>
  <si>
    <t>2 (11)</t>
  </si>
  <si>
    <t>Pearl Carr and Teddy Johnson</t>
  </si>
  <si>
    <t>Sing Little Birdie</t>
  </si>
  <si>
    <t>2 (13)</t>
  </si>
  <si>
    <t>Bryan Johnson</t>
  </si>
  <si>
    <t>Looking High, High, High</t>
  </si>
  <si>
    <t>The Allisons</t>
  </si>
  <si>
    <t>Are You Sure?</t>
  </si>
  <si>
    <t>Ronnie Carroll</t>
  </si>
  <si>
    <t>Ring-a-ding Girl</t>
  </si>
  <si>
    <t>Say Wonderful Things</t>
  </si>
  <si>
    <t>Matt Monro</t>
  </si>
  <si>
    <t>I Love The Little Things</t>
  </si>
  <si>
    <t>Kathy Kirby</t>
  </si>
  <si>
    <t>I Belong</t>
  </si>
  <si>
    <t>Kenneth McKellar</t>
  </si>
  <si>
    <t>A Man Without Love</t>
  </si>
  <si>
    <t>Sandie Shaw</t>
  </si>
  <si>
    <t>Puppet On A String</t>
  </si>
  <si>
    <t>Cliff Richard</t>
  </si>
  <si>
    <t>Congratulations</t>
  </si>
  <si>
    <t>Lulu</t>
  </si>
  <si>
    <t>Boom Bang-a-bang</t>
  </si>
  <si>
    <t>2 (12)</t>
  </si>
  <si>
    <t>Mary Hopkin</t>
  </si>
  <si>
    <t>Knock, Knock (who's There?)</t>
  </si>
  <si>
    <t>Clodagh Rodgers</t>
  </si>
  <si>
    <t>Jack In The Box</t>
  </si>
  <si>
    <t>The New Seekers</t>
  </si>
  <si>
    <t>Beg, Steal Or Borrow</t>
  </si>
  <si>
    <t>Power To All Our Friends</t>
  </si>
  <si>
    <t>Olivia Newton-John</t>
  </si>
  <si>
    <t>Long Live Love</t>
  </si>
  <si>
    <t>The Shadows</t>
  </si>
  <si>
    <t>Let Me Be The One</t>
  </si>
  <si>
    <t>Brotherhood of Man</t>
  </si>
  <si>
    <t>Save Your Kisses For Me</t>
  </si>
  <si>
    <t>Lynsey de Paul and Mike Moran</t>
  </si>
  <si>
    <t>Rock Bottom</t>
  </si>
  <si>
    <t>Co-Co</t>
  </si>
  <si>
    <t>The Bad Old Days</t>
  </si>
  <si>
    <t>Black Lace</t>
  </si>
  <si>
    <t>Mary Ann</t>
  </si>
  <si>
    <t>Prima Donna</t>
  </si>
  <si>
    <t>Love Enough For Two</t>
  </si>
  <si>
    <t>Bucks Fizz</t>
  </si>
  <si>
    <t>Making Your Mind Up</t>
  </si>
  <si>
    <t>Bardo</t>
  </si>
  <si>
    <t>One Step Further</t>
  </si>
  <si>
    <t>Sweet Dreams</t>
  </si>
  <si>
    <t>I'm Never Giving Up</t>
  </si>
  <si>
    <t>Belle and the Devotions</t>
  </si>
  <si>
    <t>Love Games</t>
  </si>
  <si>
    <t>Vikki</t>
  </si>
  <si>
    <t>Love Is...</t>
  </si>
  <si>
    <t>Ryder</t>
  </si>
  <si>
    <t>Runner In The Night</t>
  </si>
  <si>
    <t>Rikki</t>
  </si>
  <si>
    <t>Only The Light</t>
  </si>
  <si>
    <t>2 (21)</t>
  </si>
  <si>
    <t>Scott Fitzgerald</t>
  </si>
  <si>
    <t>Go</t>
  </si>
  <si>
    <t>Live Report</t>
  </si>
  <si>
    <t>Why Do I Always Get It Wrong</t>
  </si>
  <si>
    <t>Give A Little Love Back To The World</t>
  </si>
  <si>
    <t>Samantha Janus</t>
  </si>
  <si>
    <t>A Message To Your Heart</t>
  </si>
  <si>
    <t>Michael Ball</t>
  </si>
  <si>
    <t>One Step Out Of Time</t>
  </si>
  <si>
    <t>Sonia</t>
  </si>
  <si>
    <t>Better The Devil You Know</t>
  </si>
  <si>
    <t>Frances Ruffelle</t>
  </si>
  <si>
    <t>We Will Be Free (lonely Symphony)</t>
  </si>
  <si>
    <t>Love City Groove</t>
  </si>
  <si>
    <t>Gina G</t>
  </si>
  <si>
    <t>Just A Little Bit</t>
  </si>
  <si>
    <t>Katrina and The Waves</t>
  </si>
  <si>
    <t>Love Shine A Light</t>
  </si>
  <si>
    <t>Imaani</t>
  </si>
  <si>
    <t>Where Are You?</t>
  </si>
  <si>
    <t>Precious</t>
  </si>
  <si>
    <t>Say It Again</t>
  </si>
  <si>
    <t>Nicki French</t>
  </si>
  <si>
    <t>Don't Play That Song Again</t>
  </si>
  <si>
    <t>Lindsay D.</t>
  </si>
  <si>
    <t>No Dream Impossible</t>
  </si>
  <si>
    <t>Jessica Garlick</t>
  </si>
  <si>
    <t>Come Back</t>
  </si>
  <si>
    <t>Jemini</t>
  </si>
  <si>
    <t>Cry Baby</t>
  </si>
  <si>
    <t>James Fox</t>
  </si>
  <si>
    <t>Hold On To Our Love</t>
  </si>
  <si>
    <t>Javine</t>
  </si>
  <si>
    <t>Touch My Fire</t>
  </si>
  <si>
    <t>Daz Sampson</t>
  </si>
  <si>
    <t>Teenage Life</t>
  </si>
  <si>
    <t>Scooch</t>
  </si>
  <si>
    <t>Flying The Flag (for You)</t>
  </si>
  <si>
    <t>Andy Abraham</t>
  </si>
  <si>
    <t>Even IF</t>
  </si>
  <si>
    <t>Jade Ewen</t>
  </si>
  <si>
    <t>It's My Time</t>
  </si>
  <si>
    <t>Josh</t>
  </si>
  <si>
    <t>That Sounds Good To Me</t>
  </si>
  <si>
    <t>Blue</t>
  </si>
  <si>
    <t>I Can</t>
  </si>
  <si>
    <t>Engelbert Humperdinck</t>
  </si>
  <si>
    <t>Love Will Set You Free</t>
  </si>
  <si>
    <t>Bonnie Tyler</t>
  </si>
  <si>
    <t>Believe In Me</t>
  </si>
  <si>
    <t>Molly</t>
  </si>
  <si>
    <t>Children of the Universe</t>
  </si>
  <si>
    <t>24 (27)</t>
  </si>
  <si>
    <t>Electro Velvet</t>
  </si>
  <si>
    <t>Still In Love With You</t>
  </si>
  <si>
    <t>Joe and Jake</t>
  </si>
  <si>
    <t>You're Not Alone</t>
  </si>
  <si>
    <t>Lucie Jones</t>
  </si>
  <si>
    <t>Never Give Up On You</t>
  </si>
  <si>
    <t>SuRie</t>
  </si>
  <si>
    <t>Michael Rice</t>
  </si>
  <si>
    <t>Bigger Than Us</t>
  </si>
  <si>
    <t>James Newman</t>
  </si>
  <si>
    <t>Embers</t>
  </si>
  <si>
    <t>Sam Ryder</t>
  </si>
  <si>
    <t>SPACE MAN</t>
  </si>
  <si>
    <t>Yugoslavia</t>
  </si>
  <si>
    <t>Ljiljana Petrovic</t>
  </si>
  <si>
    <t>Neke Davne Zvezde</t>
  </si>
  <si>
    <t>Lola Novakovic</t>
  </si>
  <si>
    <t>Ne Pali Svetlo U Sumrak</t>
  </si>
  <si>
    <t>Vice Vukov</t>
  </si>
  <si>
    <t>Brodovi</t>
  </si>
  <si>
    <t>Sabahudin Kurt</t>
  </si>
  <si>
    <t>Zivot Je Sklopio Krug</t>
  </si>
  <si>
    <t>Ceznja</t>
  </si>
  <si>
    <t>Berta Ambroz</t>
  </si>
  <si>
    <t>Brez Besed</t>
  </si>
  <si>
    <t>Lado Leskovar</t>
  </si>
  <si>
    <t>Vse Roze Sveta</t>
  </si>
  <si>
    <t>Luci Kapurso and Hamo Hajdarhodzic</t>
  </si>
  <si>
    <t>Jedan Dan</t>
  </si>
  <si>
    <t>Ivan</t>
  </si>
  <si>
    <t>Pozdrav Svijetu</t>
  </si>
  <si>
    <t>11 (12)</t>
  </si>
  <si>
    <t>Eva Srљen</t>
  </si>
  <si>
    <t>Pridi, Dala Ti Bom Cvet</t>
  </si>
  <si>
    <t>Krunoslav Slabinac</t>
  </si>
  <si>
    <t>Tvoj Djecak Je Tuzan</t>
  </si>
  <si>
    <t>Muzika I Ti</t>
  </si>
  <si>
    <t>Zdravko Colic</t>
  </si>
  <si>
    <t>Gori Vatra</t>
  </si>
  <si>
    <t>Korni</t>
  </si>
  <si>
    <t>Generacija 42</t>
  </si>
  <si>
    <t>Pepel In Kri</t>
  </si>
  <si>
    <t>Dan Ljubezni</t>
  </si>
  <si>
    <t>Ambasadori</t>
  </si>
  <si>
    <t>Ne Mogu Skriti Svoju Bol</t>
  </si>
  <si>
    <t>Seid-Memic Vajta</t>
  </si>
  <si>
    <t>Leila</t>
  </si>
  <si>
    <t>Aska</t>
  </si>
  <si>
    <t>Halo Halo</t>
  </si>
  <si>
    <t>Danijel</t>
  </si>
  <si>
    <t>Dzuli</t>
  </si>
  <si>
    <t>Vlado and Isolda</t>
  </si>
  <si>
    <t>Ciao Amore</t>
  </si>
  <si>
    <t>Zeljo Moja</t>
  </si>
  <si>
    <t>Novi Fosili</t>
  </si>
  <si>
    <t>Ja Sam Za Ples</t>
  </si>
  <si>
    <t>6 (21)</t>
  </si>
  <si>
    <t>Srebrna Krila</t>
  </si>
  <si>
    <t>Mangup</t>
  </si>
  <si>
    <t>Riva</t>
  </si>
  <si>
    <t>Rock Me</t>
  </si>
  <si>
    <t>Tajci</t>
  </si>
  <si>
    <t>Hajde Da Ludujemo</t>
  </si>
  <si>
    <t>Baby Doll</t>
  </si>
  <si>
    <t>Brazil</t>
  </si>
  <si>
    <t>Extra Nena</t>
  </si>
  <si>
    <t>Ljubim Te Pesmama</t>
  </si>
  <si>
    <t>Названия строк</t>
  </si>
  <si>
    <t>Общий итог</t>
  </si>
  <si>
    <t>Количество по полю Country</t>
  </si>
  <si>
    <t>Среднее по полю Points</t>
  </si>
  <si>
    <t>Top 10 countries by average points</t>
  </si>
  <si>
    <t>Average Eurovision Points by Decade</t>
  </si>
  <si>
    <t>Top 10 Countries by Number of Participations</t>
  </si>
  <si>
    <t>2020s</t>
  </si>
  <si>
    <t>2010s</t>
  </si>
  <si>
    <t>2000s</t>
  </si>
  <si>
    <t>1990s</t>
  </si>
  <si>
    <t>1980s</t>
  </si>
  <si>
    <t>1970s</t>
  </si>
  <si>
    <t>1960s</t>
  </si>
  <si>
    <t>1950s</t>
  </si>
  <si>
    <t>Most successful performers ( top 5)</t>
  </si>
  <si>
    <t>Сумма по полю Points</t>
  </si>
  <si>
    <t>Participation trend by decade</t>
  </si>
  <si>
    <t>1. How many records are in the dataset?</t>
  </si>
  <si>
    <t>2. How many unique countries participated?</t>
  </si>
  <si>
    <t>3. What is the average points in Final performances (Type = F)?</t>
  </si>
  <si>
    <t>4. How many performances scored more than 300 points?</t>
  </si>
  <si>
    <t>6. How many times did Ukraine finish in the Top 5?</t>
  </si>
  <si>
    <t>7. Which song scored the highest points ever?</t>
  </si>
  <si>
    <t>Eurovision Dataset — Analysis</t>
  </si>
  <si>
    <t>5b.What are the average points after 2000?</t>
  </si>
  <si>
    <t>5a. What are the average points before 2000</t>
  </si>
  <si>
    <t xml:space="preserve">5c. Difference </t>
  </si>
  <si>
    <t>8. Which country was that performance?</t>
  </si>
  <si>
    <t>9. Which year was that performance?</t>
  </si>
  <si>
    <t>10. What percentage of performances scored more than 200 points?</t>
  </si>
  <si>
    <t>11. How many performances ended with zero points?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</si>
</sst>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pivotButton="1" applyFont="1"/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3" fillId="0" borderId="0" xfId="0" applyNumberFormat="1" applyFont="1"/>
    <xf numFmtId="1" fontId="3" fillId="0" borderId="0" xfId="0" applyNumberFormat="1" applyFont="1"/>
    <xf numFmtId="2" fontId="3" fillId="0" borderId="0" xfId="0" applyNumberFormat="1" applyFont="1"/>
    <xf numFmtId="165" fontId="3" fillId="0" borderId="0" xfId="1" applyNumberFormat="1" applyFont="1"/>
    <xf numFmtId="0" fontId="4" fillId="0" borderId="0" xfId="0" applyFont="1"/>
  </cellXfs>
  <cellStyles count="2">
    <cellStyle name="Обычный" xfId="0" builtinId="0"/>
    <cellStyle name="Процентный" xfId="1" builtinId="5"/>
  </cellStyles>
  <dxfs count="63"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0.0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0.0"/>
    </dxf>
    <dxf>
      <numFmt numFmtId="2" formatCode="0.00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[Pet_project_excel.xlsx]PivotTables!СводнаяТаблица1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solidFill>
            <a:srgbClr val="FFFF00"/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solidFill>
            <a:srgbClr val="FF0000"/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solidFill>
            <a:schemeClr val="bg2">
              <a:lumMod val="50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solidFill>
            <a:schemeClr val="accent2">
              <a:lumMod val="50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solidFill>
            <a:srgbClr val="7030A0"/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PivotTables!$B$13</c:f>
              <c:strCache>
                <c:ptCount val="1"/>
                <c:pt idx="0">
                  <c:v>Итог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6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7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8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9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PivotTables!$A$14:$A$24</c:f>
              <c:strCache>
                <c:ptCount val="10"/>
                <c:pt idx="0">
                  <c:v>Bulgaria</c:v>
                </c:pt>
                <c:pt idx="1">
                  <c:v>Australia</c:v>
                </c:pt>
                <c:pt idx="2">
                  <c:v>Serbia Montenegro</c:v>
                </c:pt>
                <c:pt idx="3">
                  <c:v>Ukraine</c:v>
                </c:pt>
                <c:pt idx="4">
                  <c:v>Russia</c:v>
                </c:pt>
                <c:pt idx="5">
                  <c:v>Azerbaijan</c:v>
                </c:pt>
                <c:pt idx="6">
                  <c:v>Serbia</c:v>
                </c:pt>
                <c:pt idx="7">
                  <c:v>Moldova</c:v>
                </c:pt>
                <c:pt idx="8">
                  <c:v>Czech Republic</c:v>
                </c:pt>
                <c:pt idx="9">
                  <c:v>Armenia</c:v>
                </c:pt>
              </c:strCache>
            </c:strRef>
          </c:cat>
          <c:val>
            <c:numRef>
              <c:f>PivotTables!$B$14:$B$24</c:f>
              <c:numCache>
                <c:formatCode>0.0</c:formatCode>
                <c:ptCount val="10"/>
                <c:pt idx="0">
                  <c:v>283</c:v>
                </c:pt>
                <c:pt idx="1">
                  <c:v>231.33333333333334</c:v>
                </c:pt>
                <c:pt idx="2">
                  <c:v>200</c:v>
                </c:pt>
                <c:pt idx="3">
                  <c:v>198.8235294117647</c:v>
                </c:pt>
                <c:pt idx="4">
                  <c:v>160.45454545454547</c:v>
                </c:pt>
                <c:pt idx="5">
                  <c:v>144.69230769230768</c:v>
                </c:pt>
                <c:pt idx="6">
                  <c:v>143.90909090909091</c:v>
                </c:pt>
                <c:pt idx="7">
                  <c:v>131.25</c:v>
                </c:pt>
                <c:pt idx="8">
                  <c:v>129.25</c:v>
                </c:pt>
                <c:pt idx="9">
                  <c:v>121.54545454545455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378587072"/>
        <c:axId val="378588640"/>
      </c:barChart>
      <c:catAx>
        <c:axId val="37858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88640"/>
        <c:crosses val="autoZero"/>
        <c:auto val="1"/>
        <c:lblAlgn val="ctr"/>
        <c:lblOffset val="100"/>
        <c:noMultiLvlLbl val="0"/>
      </c:catAx>
      <c:valAx>
        <c:axId val="37858864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8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[Pet_project_excel.xlsx]PivotTables!СводнаяТаблица3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PivotTables!$G$13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PivotTables!$F$14:$F$22</c:f>
              <c:strCache>
                <c:ptCount val="8"/>
                <c:pt idx="0">
                  <c:v>1950s</c:v>
                </c:pt>
                <c:pt idx="1">
                  <c:v>1960s</c:v>
                </c:pt>
                <c:pt idx="2">
                  <c:v>1970s</c:v>
                </c:pt>
                <c:pt idx="3">
                  <c:v>1980s</c:v>
                </c:pt>
                <c:pt idx="4">
                  <c:v>1990s</c:v>
                </c:pt>
                <c:pt idx="5">
                  <c:v>2000s</c:v>
                </c:pt>
                <c:pt idx="6">
                  <c:v>2010s</c:v>
                </c:pt>
                <c:pt idx="7">
                  <c:v>2020s</c:v>
                </c:pt>
              </c:strCache>
            </c:strRef>
          </c:cat>
          <c:val>
            <c:numRef>
              <c:f>PivotTables!$G$14:$G$22</c:f>
              <c:numCache>
                <c:formatCode>General</c:formatCode>
                <c:ptCount val="8"/>
                <c:pt idx="0">
                  <c:v>31</c:v>
                </c:pt>
                <c:pt idx="1">
                  <c:v>163</c:v>
                </c:pt>
                <c:pt idx="2">
                  <c:v>176</c:v>
                </c:pt>
                <c:pt idx="3">
                  <c:v>200</c:v>
                </c:pt>
                <c:pt idx="4">
                  <c:v>236</c:v>
                </c:pt>
                <c:pt idx="5">
                  <c:v>243</c:v>
                </c:pt>
                <c:pt idx="6">
                  <c:v>259</c:v>
                </c:pt>
                <c:pt idx="7">
                  <c:v>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378584720"/>
        <c:axId val="378589816"/>
      </c:barChart>
      <c:catAx>
        <c:axId val="37858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89816"/>
        <c:crosses val="autoZero"/>
        <c:auto val="1"/>
        <c:lblAlgn val="ctr"/>
        <c:lblOffset val="100"/>
        <c:noMultiLvlLbl val="0"/>
      </c:catAx>
      <c:valAx>
        <c:axId val="378589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8472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[Pet_project_excel.xlsx]PivotTables!СводнаяТаблица9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3"/>
        <c:spPr>
          <a:solidFill>
            <a:schemeClr val="bg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solidFill>
            <a:schemeClr val="tx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solidFill>
            <a:srgbClr val="00206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solidFill>
            <a:schemeClr val="accent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PivotTables!$L$13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9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0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cat>
            <c:strRef>
              <c:f>PivotTables!$K$14:$K$25</c:f>
              <c:strCache>
                <c:ptCount val="11"/>
                <c:pt idx="0">
                  <c:v>United Kingdom</c:v>
                </c:pt>
                <c:pt idx="1">
                  <c:v>Germany</c:v>
                </c:pt>
                <c:pt idx="2">
                  <c:v>France</c:v>
                </c:pt>
                <c:pt idx="3">
                  <c:v>Spain</c:v>
                </c:pt>
                <c:pt idx="4">
                  <c:v>Sweden</c:v>
                </c:pt>
                <c:pt idx="5">
                  <c:v>Norway</c:v>
                </c:pt>
                <c:pt idx="6">
                  <c:v>Belgium</c:v>
                </c:pt>
                <c:pt idx="7">
                  <c:v>Netherlands</c:v>
                </c:pt>
                <c:pt idx="8">
                  <c:v>Switzerland</c:v>
                </c:pt>
                <c:pt idx="9">
                  <c:v>Austria</c:v>
                </c:pt>
                <c:pt idx="10">
                  <c:v>Finland</c:v>
                </c:pt>
              </c:strCache>
            </c:strRef>
          </c:cat>
          <c:val>
            <c:numRef>
              <c:f>PivotTables!$L$14:$L$25</c:f>
              <c:numCache>
                <c:formatCode>General</c:formatCode>
                <c:ptCount val="11"/>
                <c:pt idx="0">
                  <c:v>64</c:v>
                </c:pt>
                <c:pt idx="1">
                  <c:v>64</c:v>
                </c:pt>
                <c:pt idx="2">
                  <c:v>63</c:v>
                </c:pt>
                <c:pt idx="3">
                  <c:v>61</c:v>
                </c:pt>
                <c:pt idx="4">
                  <c:v>60</c:v>
                </c:pt>
                <c:pt idx="5">
                  <c:v>57</c:v>
                </c:pt>
                <c:pt idx="6">
                  <c:v>52</c:v>
                </c:pt>
                <c:pt idx="7">
                  <c:v>52</c:v>
                </c:pt>
                <c:pt idx="8">
                  <c:v>50</c:v>
                </c:pt>
                <c:pt idx="9">
                  <c:v>47</c:v>
                </c:pt>
                <c:pt idx="10">
                  <c:v>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8589032"/>
        <c:axId val="378588248"/>
        <c:axId val="0"/>
      </c:bar3DChart>
      <c:catAx>
        <c:axId val="378589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88248"/>
        <c:crosses val="autoZero"/>
        <c:auto val="1"/>
        <c:lblAlgn val="ctr"/>
        <c:lblOffset val="100"/>
        <c:noMultiLvlLbl val="0"/>
      </c:catAx>
      <c:valAx>
        <c:axId val="378588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89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[Pet_project_excel.xlsx]PivotTables!СводнаяТаблица8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PivotTables!$G$29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PivotTables!$F$30:$F$38</c:f>
              <c:strCache>
                <c:ptCount val="8"/>
                <c:pt idx="0">
                  <c:v>1950s</c:v>
                </c:pt>
                <c:pt idx="1">
                  <c:v>1960s</c:v>
                </c:pt>
                <c:pt idx="2">
                  <c:v>1970s</c:v>
                </c:pt>
                <c:pt idx="3">
                  <c:v>1980s</c:v>
                </c:pt>
                <c:pt idx="4">
                  <c:v>1990s</c:v>
                </c:pt>
                <c:pt idx="5">
                  <c:v>2000s</c:v>
                </c:pt>
                <c:pt idx="6">
                  <c:v>2010s</c:v>
                </c:pt>
                <c:pt idx="7">
                  <c:v>2020s</c:v>
                </c:pt>
              </c:strCache>
            </c:strRef>
          </c:cat>
          <c:val>
            <c:numRef>
              <c:f>PivotTables!$G$30:$G$38</c:f>
              <c:numCache>
                <c:formatCode>0.0</c:formatCode>
                <c:ptCount val="8"/>
                <c:pt idx="0">
                  <c:v>10</c:v>
                </c:pt>
                <c:pt idx="1">
                  <c:v>9.779141104294478</c:v>
                </c:pt>
                <c:pt idx="2">
                  <c:v>58.363636363636367</c:v>
                </c:pt>
                <c:pt idx="3">
                  <c:v>58</c:v>
                </c:pt>
                <c:pt idx="4">
                  <c:v>58</c:v>
                </c:pt>
                <c:pt idx="5">
                  <c:v>80.436213991769549</c:v>
                </c:pt>
                <c:pt idx="6">
                  <c:v>128.98841698841699</c:v>
                </c:pt>
                <c:pt idx="7">
                  <c:v>179.68627450980392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378583544"/>
        <c:axId val="378590600"/>
      </c:barChart>
      <c:catAx>
        <c:axId val="378583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90600"/>
        <c:crosses val="autoZero"/>
        <c:auto val="1"/>
        <c:lblAlgn val="ctr"/>
        <c:lblOffset val="100"/>
        <c:noMultiLvlLbl val="0"/>
      </c:catAx>
      <c:valAx>
        <c:axId val="37859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8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[Pet_project_excel.xlsx]PivotTables!СводнаяТаблица7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PivotTables!$B$29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PivotTables!$A$30:$A$35</c:f>
              <c:strCache>
                <c:ptCount val="5"/>
                <c:pt idx="0">
                  <c:v>Sergey Lazarev</c:v>
                </c:pt>
                <c:pt idx="1">
                  <c:v>Salvador Sobral</c:v>
                </c:pt>
                <c:pt idx="2">
                  <c:v>Kalush Orchestra</c:v>
                </c:pt>
                <c:pt idx="3">
                  <c:v>Kristian Kostov</c:v>
                </c:pt>
                <c:pt idx="4">
                  <c:v>Jamala</c:v>
                </c:pt>
              </c:strCache>
            </c:strRef>
          </c:cat>
          <c:val>
            <c:numRef>
              <c:f>PivotTables!$B$30:$B$35</c:f>
              <c:numCache>
                <c:formatCode>General</c:formatCode>
                <c:ptCount val="5"/>
                <c:pt idx="0">
                  <c:v>861</c:v>
                </c:pt>
                <c:pt idx="1">
                  <c:v>758</c:v>
                </c:pt>
                <c:pt idx="2">
                  <c:v>631</c:v>
                </c:pt>
                <c:pt idx="3">
                  <c:v>615</c:v>
                </c:pt>
                <c:pt idx="4">
                  <c:v>534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25317704"/>
        <c:axId val="325318096"/>
      </c:barChart>
      <c:catAx>
        <c:axId val="325317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318096"/>
        <c:crosses val="autoZero"/>
        <c:auto val="1"/>
        <c:lblAlgn val="ctr"/>
        <c:lblOffset val="100"/>
        <c:noMultiLvlLbl val="0"/>
      </c:catAx>
      <c:valAx>
        <c:axId val="3253180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317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0</xdr:rowOff>
    </xdr:from>
    <xdr:to>
      <xdr:col>1</xdr:col>
      <xdr:colOff>1587500</xdr:colOff>
      <xdr:row>9</xdr:row>
      <xdr:rowOff>50800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700" y="0"/>
              <a:ext cx="2616200" cy="182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508000</xdr:colOff>
      <xdr:row>0</xdr:row>
      <xdr:rowOff>0</xdr:rowOff>
    </xdr:from>
    <xdr:to>
      <xdr:col>6</xdr:col>
      <xdr:colOff>1168400</xdr:colOff>
      <xdr:row>9</xdr:row>
      <xdr:rowOff>69850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90950" y="0"/>
              <a:ext cx="1828800" cy="1841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254000</xdr:colOff>
      <xdr:row>0</xdr:row>
      <xdr:rowOff>0</xdr:rowOff>
    </xdr:from>
    <xdr:to>
      <xdr:col>11</xdr:col>
      <xdr:colOff>647700</xdr:colOff>
      <xdr:row>9</xdr:row>
      <xdr:rowOff>57149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88150" y="0"/>
              <a:ext cx="1828800" cy="18287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120650</xdr:rowOff>
    </xdr:from>
    <xdr:to>
      <xdr:col>7</xdr:col>
      <xdr:colOff>304800</xdr:colOff>
      <xdr:row>16</xdr:row>
      <xdr:rowOff>101600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25400</xdr:colOff>
      <xdr:row>1</xdr:row>
      <xdr:rowOff>0</xdr:rowOff>
    </xdr:from>
    <xdr:to>
      <xdr:col>15</xdr:col>
      <xdr:colOff>330200</xdr:colOff>
      <xdr:row>15</xdr:row>
      <xdr:rowOff>165100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7</xdr:col>
      <xdr:colOff>304800</xdr:colOff>
      <xdr:row>38</xdr:row>
      <xdr:rowOff>19050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323850</xdr:colOff>
      <xdr:row>38</xdr:row>
      <xdr:rowOff>19050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7</xdr:col>
      <xdr:colOff>304800</xdr:colOff>
      <xdr:row>56</xdr:row>
      <xdr:rowOff>165100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рт" refreshedDate="46165.640866782407" createdVersion="5" refreshedVersion="5" minRefreshableVersion="3" recordCount="1359">
  <cacheSource type="worksheet">
    <worksheetSource ref="A1:H1360" sheet="DataSet"/>
  </cacheSource>
  <cacheFields count="8">
    <cacheField name="Country" numFmtId="0">
      <sharedItems count="51">
        <s v="Albania"/>
        <s v="Armenia"/>
        <s v="Australia"/>
        <s v="Austria"/>
        <s v="Azerbaijan"/>
        <s v="Belarus"/>
        <s v="Belgium"/>
        <s v="Bosnia Herzegovina"/>
        <s v="Bulgaria"/>
        <s v="Croatia"/>
        <s v="Cyprus"/>
        <s v="Czech Republic"/>
        <s v="Denmark"/>
        <s v="Estonia"/>
        <s v="Finland"/>
        <s v="France"/>
        <s v="Georgia"/>
        <s v="Germany"/>
        <s v="Greece"/>
        <s v="Hungary"/>
        <s v="Iceland"/>
        <s v="Ireland"/>
        <s v="Israel"/>
        <s v="Italy"/>
        <s v="Latvia"/>
        <s v="Lithuania"/>
        <s v="Luxembourg"/>
        <s v="FYR Macedonia"/>
        <s v="Malta"/>
        <s v="Moldova"/>
        <s v="Monaco"/>
        <s v="Montenegro"/>
        <s v="Morocco"/>
        <s v="Netherlands"/>
        <s v="Norway"/>
        <s v="Poland"/>
        <s v="Portugal"/>
        <s v="Romania"/>
        <s v="Russia"/>
        <s v="San Marino"/>
        <s v="Serbia"/>
        <s v="Serbia Montenegro"/>
        <s v="Slovakia"/>
        <s v="Slovenia"/>
        <s v="Spain"/>
        <s v="Sweden"/>
        <s v="Switzerland"/>
        <s v="Turkey"/>
        <s v="Ukraine"/>
        <s v="United Kingdom"/>
        <s v="Yugoslavia"/>
      </sharedItems>
    </cacheField>
    <cacheField name="Year" numFmtId="0">
      <sharedItems containsSemiMixedTypes="0" containsString="0" containsNumber="1" containsInteger="1" minValue="1957" maxValue="2022" count="65">
        <n v="2004"/>
        <n v="2005"/>
        <n v="2008"/>
        <n v="2009"/>
        <n v="2010"/>
        <n v="2012"/>
        <n v="2015"/>
        <n v="2018"/>
        <n v="2019"/>
        <n v="2021"/>
        <n v="2006"/>
        <n v="2007"/>
        <n v="2013"/>
        <n v="2014"/>
        <n v="2016"/>
        <n v="2017"/>
        <n v="2022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71"/>
        <n v="1972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9"/>
        <n v="2000"/>
        <n v="2002"/>
        <n v="2003"/>
        <n v="2011"/>
        <n v="1969"/>
        <n v="1970"/>
        <n v="1973"/>
        <n v="1974"/>
        <n v="1975"/>
        <n v="1998"/>
        <n v="2001"/>
      </sharedItems>
      <fieldGroup base="1">
        <rangePr autoStart="0" startNum="1950" endNum="2022" groupInterval="10"/>
        <groupItems count="10">
          <s v="&lt;1950"/>
          <s v="1950-1959"/>
          <s v="1960-1969"/>
          <s v="1970-1979"/>
          <s v="1980-1989"/>
          <s v="1990-1999"/>
          <s v="2000-2009"/>
          <s v="2010-2019"/>
          <s v="2020-2029"/>
          <s v="&gt;2030"/>
        </groupItems>
      </fieldGroup>
    </cacheField>
    <cacheField name="Type" numFmtId="0">
      <sharedItems containsBlank="1" count="2">
        <s v="F"/>
        <m/>
      </sharedItems>
    </cacheField>
    <cacheField name="Points" numFmtId="1">
      <sharedItems containsSemiMixedTypes="0" containsString="0" containsNumber="1" containsInteger="1" minValue="0" maxValue="758" count="259">
        <n v="106"/>
        <n v="53"/>
        <n v="55"/>
        <n v="48"/>
        <n v="62"/>
        <n v="146"/>
        <n v="34"/>
        <n v="184"/>
        <n v="90"/>
        <n v="57"/>
        <n v="129"/>
        <n v="138"/>
        <n v="199"/>
        <n v="92"/>
        <n v="141"/>
        <n v="41"/>
        <n v="174"/>
        <n v="249"/>
        <n v="79"/>
        <n v="61"/>
        <n v="196"/>
        <n v="511"/>
        <n v="173"/>
        <n v="99"/>
        <n v="284"/>
        <n v="125"/>
        <n v="3"/>
        <n v="8"/>
        <n v="4"/>
        <n v="6"/>
        <n v="1"/>
        <n v="0"/>
        <n v="16"/>
        <n v="11"/>
        <n v="31"/>
        <n v="2"/>
        <n v="66"/>
        <n v="100"/>
        <n v="80"/>
        <n v="14"/>
        <n v="5"/>
        <n v="64"/>
        <n v="20"/>
        <n v="60"/>
        <n v="12"/>
        <n v="97"/>
        <n v="58"/>
        <n v="63"/>
        <n v="32"/>
        <n v="19"/>
        <n v="67"/>
        <n v="68"/>
        <n v="65"/>
        <n v="26"/>
        <n v="101"/>
        <n v="9"/>
        <n v="290"/>
        <n v="151"/>
        <n v="93"/>
        <n v="342"/>
        <n v="132"/>
        <n v="207"/>
        <n v="145"/>
        <n v="221"/>
        <n v="150"/>
        <n v="234"/>
        <n v="33"/>
        <n v="49"/>
        <n v="117"/>
        <n v="120"/>
        <n v="302"/>
        <n v="18"/>
        <n v="43"/>
        <n v="83"/>
        <n v="10"/>
        <n v="17"/>
        <n v="69"/>
        <n v="40"/>
        <n v="96"/>
        <n v="13"/>
        <n v="70"/>
        <n v="7"/>
        <n v="176"/>
        <n v="56"/>
        <n v="46"/>
        <n v="23"/>
        <n v="22"/>
        <n v="122"/>
        <n v="38"/>
        <n v="165"/>
        <n v="143"/>
        <n v="71"/>
        <n v="217"/>
        <n v="181"/>
        <n v="363"/>
        <n v="74"/>
        <n v="27"/>
        <n v="39"/>
        <n v="86"/>
        <n v="29"/>
        <n v="91"/>
        <n v="229"/>
        <n v="110"/>
        <n v="51"/>
        <n v="157"/>
        <n v="307"/>
        <n v="615"/>
        <n v="166"/>
        <n v="170"/>
        <n v="98"/>
        <n v="24"/>
        <n v="131"/>
        <n v="118"/>
        <n v="42"/>
        <n v="44"/>
        <n v="50"/>
        <n v="115"/>
        <n v="45"/>
        <n v="73"/>
        <n v="128"/>
        <n v="85"/>
        <n v="15"/>
        <n v="36"/>
        <n v="72"/>
        <n v="37"/>
        <n v="436"/>
        <n v="109"/>
        <n v="94"/>
        <n v="281"/>
        <n v="76"/>
        <n v="25"/>
        <n v="77"/>
        <n v="111"/>
        <n v="47"/>
        <n v="195"/>
        <n v="177"/>
        <n v="149"/>
        <n v="134"/>
        <n v="21"/>
        <n v="226"/>
        <n v="82"/>
        <n v="198"/>
        <n v="245"/>
        <n v="84"/>
        <n v="78"/>
        <n v="292"/>
        <n v="35"/>
        <n v="301"/>
        <n v="81"/>
        <n v="147"/>
        <n v="136"/>
        <n v="119"/>
        <n v="121"/>
        <n v="95"/>
        <n v="142"/>
        <n v="104"/>
        <n v="107"/>
        <n v="257"/>
        <n v="135"/>
        <n v="105"/>
        <n v="499"/>
        <n v="161"/>
        <n v="140"/>
        <n v="246"/>
        <n v="340"/>
        <n v="30"/>
        <n v="252"/>
        <n v="230"/>
        <n v="139"/>
        <n v="218"/>
        <n v="152"/>
        <n v="215"/>
        <n v="108"/>
        <n v="200"/>
        <n v="28"/>
        <n v="124"/>
        <n v="232"/>
        <n v="378"/>
        <n v="54"/>
        <n v="137"/>
        <n v="172"/>
        <n v="155"/>
        <n v="187"/>
        <n v="162"/>
        <n v="154"/>
        <n v="529"/>
        <n v="87"/>
        <n v="103"/>
        <n v="52"/>
        <n v="89"/>
        <n v="114"/>
        <n v="189"/>
        <n v="126"/>
        <n v="334"/>
        <n v="308"/>
        <n v="472"/>
        <n v="524"/>
        <n v="268"/>
        <n v="153"/>
        <n v="186"/>
        <n v="220"/>
        <n v="305"/>
        <n v="123"/>
        <n v="164"/>
        <n v="192"/>
        <n v="255"/>
        <n v="148"/>
        <n v="374"/>
        <n v="209"/>
        <n v="253"/>
        <n v="238"/>
        <n v="498"/>
        <n v="171"/>
        <n v="88"/>
        <n v="182"/>
        <n v="387"/>
        <n v="191"/>
        <n v="102"/>
        <n v="158"/>
        <n v="144"/>
        <n v="331"/>
        <n v="75"/>
        <n v="758"/>
        <n v="282"/>
        <n v="248"/>
        <n v="272"/>
        <n v="259"/>
        <n v="303"/>
        <n v="491"/>
        <n v="370"/>
        <n v="204"/>
        <n v="160"/>
        <n v="214"/>
        <n v="113"/>
        <n v="312"/>
        <n v="263"/>
        <n v="116"/>
        <n v="459"/>
        <n v="163"/>
        <n v="185"/>
        <n v="372"/>
        <n v="365"/>
        <n v="261"/>
        <n v="344"/>
        <n v="274"/>
        <n v="438"/>
        <n v="364"/>
        <n v="432"/>
        <n v="59"/>
        <n v="167"/>
        <n v="112"/>
        <n v="280"/>
        <n v="235"/>
        <n v="159"/>
        <n v="534"/>
        <n v="130"/>
        <n v="631"/>
        <n v="227"/>
        <n v="466"/>
      </sharedItems>
    </cacheField>
    <cacheField name="Place" numFmtId="2">
      <sharedItems/>
    </cacheField>
    <cacheField name="Draw" numFmtId="0">
      <sharedItems containsSemiMixedTypes="0" containsString="0" containsNumber="1" containsInteger="1" minValue="1" maxValue="27"/>
    </cacheField>
    <cacheField name="Performer" numFmtId="0">
      <sharedItems count="1269">
        <s v="Anjeza Shahini"/>
        <s v="Ledina Celo"/>
        <s v="Olta Boka"/>
        <s v="Kejsi Tola"/>
        <s v="Juliana Pasha"/>
        <s v="Rona Nishliu"/>
        <s v="Elhaida Dani"/>
        <s v="Eugent Bushpepa"/>
        <s v="Jonida Maliqi"/>
        <s v="Anxhela Peristeri"/>
        <s v="Andrй"/>
        <s v="Hayko"/>
        <s v="Sirusho"/>
        <s v="Inga &amp; Anush"/>
        <s v="Eva Rivas"/>
        <s v="Dorians"/>
        <s v="Aram MP3"/>
        <s v="Genealogy"/>
        <s v="Iveta Mukuchyan"/>
        <s v="Artsvik"/>
        <s v="Rosa Linn"/>
        <s v="Guy Sebastian"/>
        <s v="Dami Im"/>
        <s v="Isaiah"/>
        <s v="Jessica Mauboy"/>
        <s v="Kate Miller-Heidke"/>
        <s v="Sheldon Riley"/>
        <s v="Bob Martin"/>
        <s v="Liane Augustin"/>
        <s v="Ferry Graf"/>
        <s v="Harry Winter"/>
        <s v="Jimmy Makulis"/>
        <s v="Eleonore Schwarz"/>
        <s v="Carmela Corren"/>
        <s v="Udo Jьrgens"/>
        <s v="Peter Horten"/>
        <s v="Karel Gott"/>
        <s v="Marianne Mendt"/>
        <s v="The Milestones"/>
        <s v="Waterloo and Robinson"/>
        <s v="Schmetterlinge"/>
        <s v="Springtime"/>
        <s v="Christina Simon"/>
        <s v="Blue Danube"/>
        <s v="Marty Brem"/>
        <s v="Mess"/>
        <s v="Westend"/>
        <s v="Anita"/>
        <s v="Gary Lux"/>
        <s v="Timna Brauer"/>
        <s v="Wilfried"/>
        <s v="Thomas Forstner"/>
        <s v="Simone"/>
        <s v="Tony Wegas"/>
        <s v="Petra Frey"/>
        <s v="Stella Jones"/>
        <s v="George NuЯbaumer"/>
        <s v="Bettina Soriat"/>
        <s v="Bobbie Singer"/>
        <s v="The rounder girls"/>
        <s v="Manuel Ortega"/>
        <s v="Alf Poier"/>
        <s v="Tie Break"/>
        <s v="Nadine Beiler"/>
        <s v="Conchita Wurst"/>
        <s v="The Makemakes"/>
        <s v="ZOЛ"/>
        <s v="Nathan Trent"/>
        <s v="Cesбr Sampson"/>
        <s v="Elnur &amp; Samir"/>
        <s v="AySel &amp; Arash"/>
        <s v="Safura"/>
        <s v="Ell &amp; Nikki"/>
        <s v="Sabina Babayeva"/>
        <s v="Farid Mammadov"/>
        <s v="Dilara Kazimova"/>
        <s v="Elnur Huseynov"/>
        <s v="Samra"/>
        <s v="Dihaj"/>
        <s v="Chingiz"/>
        <s v="Efendi"/>
        <s v="Nadir Rustamli"/>
        <s v="Dmitry Koldun"/>
        <s v="3+2"/>
        <s v="Alyona Lanskaya"/>
        <s v="Teo"/>
        <s v="Naviband"/>
        <s v="ZENA"/>
        <s v="Bobbejaan Schoepen"/>
        <s v="Fud Leclerc"/>
        <s v="Bob Benny"/>
        <s v="Jacques Raymond"/>
        <s v="Robert Cogoi"/>
        <s v="Lize Marke"/>
        <s v="Tonia"/>
        <s v="Louis Neefs"/>
        <s v="Claude Lombard"/>
        <s v="Jean Vallйe"/>
        <s v="Lily Castel and Jacques Raymond"/>
        <s v="Serge and Christine Ghisoland"/>
        <s v="Nicole and Hugo"/>
        <s v="Jacques Hustin"/>
        <s v="Ann Christy"/>
        <s v="Pierre Rapsat"/>
        <s v="Dream Express"/>
        <s v="Micha Marah"/>
        <s v="Telex"/>
        <s v="Emly Starr"/>
        <s v="Stella"/>
        <s v="Pas de Deux"/>
        <s v="Jacques Zegers"/>
        <s v="Linda Lepomme"/>
        <s v="Sandra Kim"/>
        <s v="Liliane Saint-Pierre"/>
        <s v="Reynaert"/>
        <s v="Ingeborg"/>
        <s v="Philippe Lafontaine"/>
        <s v="Clouseau"/>
        <s v="Morgane"/>
        <s v="Barbara"/>
        <s v="Frйdйric Etherlinck"/>
        <s v="Lisa del Bo"/>
        <s v="Mйlanie Cohl"/>
        <s v="Venessa Chinitor"/>
        <s v="Nathalie Sorce"/>
        <s v="Sergio &amp; the Ladies"/>
        <s v="Urban Trad"/>
        <s v="Xandee"/>
        <s v="Tom Dice"/>
        <s v="Roberto Bellarosa"/>
        <s v="Loпc Nottet"/>
        <s v="Laura Tesoro"/>
        <s v="Blanche"/>
        <s v="Hooverphonic"/>
        <s v="Jйrйmie Makiese"/>
        <s v="Fazla"/>
        <s v="Alma and Dejan"/>
        <s v="Davor Popovic"/>
        <s v="Amila Glamocak"/>
        <s v="Alma Cardzic"/>
        <s v="Dino and Beatrice"/>
        <s v="Nino"/>
        <s v="Maja"/>
        <s v="Mija Martina"/>
        <s v="Deen"/>
        <s v="Feminnem"/>
        <s v="Hari Mata Hari"/>
        <s v="Marija Sestic"/>
        <s v="Laka"/>
        <s v="Regina"/>
        <s v="Vukaљin Braji?"/>
        <s v="Dino Merlin"/>
        <s v="Maya Sar"/>
        <s v="Elitsa Todorova &amp; Stoyan Yankulov"/>
        <s v="Poli Genova"/>
        <s v="Kristian Kostov"/>
        <s v="EQUINOX"/>
        <s v="VICTORIA"/>
        <s v="Put"/>
        <s v="Tony Cetinski"/>
        <s v="Magazin and Lidija"/>
        <s v="Maja Blagdan"/>
        <s v="ENI"/>
        <s v="Danijela"/>
        <s v="Doris Dragovic"/>
        <s v="Goran Karan"/>
        <s v="Vanna"/>
        <s v="Vesna Pisarovic"/>
        <s v="Claudia Beni"/>
        <s v="Ivan Mikulic"/>
        <s v="Boris Novkovic feat. Lado members"/>
        <s v="Severina"/>
        <s v="Kraljevi Ulice &amp; 75 Cents"/>
        <s v="Igor Cukrov feat. Andrea"/>
        <s v="Nina Kralji?"/>
        <s v="Jacques Houdek"/>
        <s v="Island"/>
        <s v="Anna Vissi"/>
        <s v="Stavros and Constantina"/>
        <s v="Andy Paul"/>
        <s v="Lia Vissi"/>
        <s v="Elpida"/>
        <s v="Alexia"/>
        <s v="Fanny Polymeri and Yiannis Savvidakis"/>
        <s v="Haris Anastasiou"/>
        <s v="Elena Patroclou"/>
        <s v="Evridiki"/>
        <s v="Kyriakos Zymboulakis and Demos Van Beke"/>
        <s v="Alexandros Panayi"/>
        <s v="Constantinos"/>
        <s v="Chara and Andreas Konstantinou"/>
        <s v="Michael Hajiyanni"/>
        <s v="Marlain Angelidou"/>
        <s v="Voice"/>
        <s v="One"/>
        <s v="Stelios Constantas"/>
        <s v="Lisa Andreas"/>
        <s v="Constantinos Christoforou"/>
        <s v="Jon Lilygreen &amp; The Islanders"/>
        <s v="Ivi Adamou"/>
        <s v="John Karayiannis"/>
        <s v="Minus One"/>
        <s v="Hovig"/>
        <s v="Eleni Foureira"/>
        <s v="Tamta"/>
        <s v="Elena Tsagrinou"/>
        <s v="Gabriela Gun?нkovб"/>
        <s v="Mikolas Josef"/>
        <s v="Lake Malawi"/>
        <s v="We Are Domi"/>
        <s v="Birthe Wilke and Gustav Winckler"/>
        <s v="Raquel Rastenni"/>
        <s v="Birthe Wilke"/>
        <s v="Katy Bшdtger"/>
        <s v="Dario Campeotto"/>
        <s v="Ellen Winther"/>
        <s v="Grethe and Jшrgen Ingmann"/>
        <s v="Bjшrn Tidmand"/>
        <s v="Birgit Brьel"/>
        <s v="Ulla Pia"/>
        <s v="Mabel"/>
        <s v="Tommy Seebach"/>
        <s v="Bamses Venner"/>
        <s v="Debbie Cameron and Tommy Seebach"/>
        <s v="Brixx"/>
        <s v="Gry Johansen"/>
        <s v="Hot Eyes"/>
        <s v="Lise Haavik and Trax"/>
        <s v="Anne-Catherine Herdorf and Bandjo"/>
        <s v="Birthe Kjжr"/>
        <s v="Lonnie Devantier"/>
        <s v="Anders Frandsen"/>
        <s v="Lotte Nilsson and Kenny Lьbcke"/>
        <s v="Tommy Seebach Band"/>
        <s v="Aud Wilken"/>
        <s v="Kшlig Kaj"/>
        <s v="Trine Jepsen &amp; Michael Teschl"/>
        <s v="Olsen brothers"/>
        <s v="Rollo &amp; King"/>
        <s v="Malene"/>
        <s v="Jakob Sveistrup"/>
        <s v="Sidsel Ben Semmane"/>
        <s v="Simon Mathew"/>
        <s v="Brinck"/>
        <s v="Chanйe &amp; N'evergreen"/>
        <s v="A Friend In London"/>
        <s v="Soluna Samay"/>
        <s v="Emmelie de Forest"/>
        <s v="Basim"/>
        <s v="Anja"/>
        <s v="Rasmussen"/>
        <s v="Leonora"/>
        <s v="Silvi Vrait"/>
        <s v="Ivo Linna and Maarja-Liis Ilus"/>
        <s v="Maarja-Liis Ilus"/>
        <s v="Koit Toome"/>
        <s v="Evelin Samuel and Camille"/>
        <s v="Ines"/>
        <s v="Tanel Padar, Dave Benton &amp; 2XL"/>
        <s v="Sahlйne"/>
        <s v="Ruffus"/>
        <s v="Urban Symphony"/>
        <s v="Getter Jaani"/>
        <s v="Ott Lepland"/>
        <s v="Birgit"/>
        <s v="Elina Born &amp; Stig Rдsta"/>
        <s v="Elina Nechayeva"/>
        <s v="Victor Crone"/>
        <s v="Stefan"/>
        <s v="Laila Kinnunen"/>
        <s v="Marion Rung"/>
        <s v="Laila Halme"/>
        <s v="Lasse Mеrtenson"/>
        <s v="Viktor Klimenko"/>
        <s v="Ann-Christine Nystrцm"/>
        <s v="Fredi"/>
        <s v="Kristina Hautala"/>
        <s v="Jarkko and Laura"/>
        <s v="Markku Aro and Koivisto Sisters"/>
        <s v="Pдivi Paunu and Kim Floor"/>
        <s v="Carita"/>
        <s v="Pihasoittajat"/>
        <s v="Fredi and The Friends"/>
        <s v="Monica Aspelund"/>
        <s v="Seija Simola"/>
        <s v="Katri-Helena"/>
        <s v="Vesa-Matti Loiri"/>
        <s v="Riki Sorsa"/>
        <s v="Kojo"/>
        <s v="Ami Aspelund"/>
        <s v="Kirka"/>
        <s v="Sonja Lumme"/>
        <s v="Kari Kuivalainen"/>
        <s v="Vicky Rosti"/>
        <s v="Boulevard"/>
        <s v="Anneli Saaristo"/>
        <s v="Beat"/>
        <s v="Kaija"/>
        <s v="Pave"/>
        <s v="CatCat"/>
        <s v="Jasmine"/>
        <s v="Edea"/>
        <s v="Nina Еstrцm"/>
        <s v="Laura"/>
        <s v="Lordi"/>
        <s v="Hanna Pakarinen"/>
        <s v="Terдsbetoni"/>
        <s v="Waldo's People"/>
        <s v="Paradise Oskar"/>
        <s v="Krista Siegfrids"/>
        <s v="Softengine"/>
        <s v="Saara Aalto"/>
        <s v="Blind Channel"/>
        <s v="The Rasmus"/>
        <s v="Paule Desjardins"/>
        <s v="Andrй Claveau"/>
        <s v="Jean Philippe"/>
        <s v="Jacqueline Boyer"/>
        <s v="Jean-Paul Mauric"/>
        <s v="Isabelle Aubret"/>
        <s v="Alain Barriиre"/>
        <s v="Rachel"/>
        <s v="Guy Mardel"/>
        <s v="Dominique Walter"/>
        <s v="Noлlle Cordier"/>
        <s v="Frida Boccara"/>
        <s v="Guy Bonnet"/>
        <s v="Serge Lama"/>
        <s v="Betty Mars"/>
        <s v="Martine Clйmenceau"/>
        <s v="Nicole Rieu"/>
        <s v="Catherine Ferry"/>
        <s v="Marie Myriam"/>
        <s v="Joлl Prйvost"/>
        <s v="Anne-Marie David"/>
        <s v="Profil"/>
        <s v="Jean Gabilou"/>
        <s v="Annick Thoumazeau"/>
        <s v="Roger Bens"/>
        <s v="Cocktail Chic"/>
        <s v="Christine Minier"/>
        <s v="Gйrard Lenorman"/>
        <s v="Nathalie Pвque"/>
        <s v="Joelle Ursull"/>
        <s v="Amina"/>
        <s v="Kali"/>
        <s v="Patrick Fiori"/>
        <s v="Nina Morato"/>
        <s v="Nathalie Santamaria"/>
        <s v="Dan Ar Braz et l'Hйritage des Celtes"/>
        <s v="Fanny"/>
        <s v="Marie-Line"/>
        <s v="Nayah"/>
        <s v="Sofia Mestari"/>
        <s v="Natasha Saint-Pier"/>
        <s v="Sandrine Franзois"/>
        <s v="Louisa Baileche"/>
        <s v="Jonatan Cerrada"/>
        <s v="Ortal"/>
        <s v="Virginie Pouchin"/>
        <s v="Les Fatals Picards"/>
        <s v="Sйbastien Tellier"/>
        <s v="Patricia Kaas"/>
        <s v="Jessy Matador"/>
        <s v="Amaury Vassili"/>
        <s v="Anggun"/>
        <s v="Amandine Bourgeois"/>
        <s v="TWIN TWIN"/>
        <s v="Lisa Angell"/>
        <s v="Amir"/>
        <s v="Alma"/>
        <s v="Madame Monsieur"/>
        <s v="Bilal Hassani"/>
        <s v="Barbara Pravi"/>
        <s v="Alvan &amp; Ahez"/>
        <s v="Sopho"/>
        <s v="Diana Gurtskaya"/>
        <s v="Sofia Nizharadze"/>
        <s v="Eldrine"/>
        <s v="Nodi Tatishvili &amp; Sophie Gelovani"/>
        <s v="Nina Sublatti"/>
        <s v="Nika Kocharov and Young Georgian Lolitaz"/>
        <s v="Margot Hielscher"/>
        <s v="Alice and Ellen Kessler"/>
        <s v="Wyn Hoop"/>
        <s v="Lale Andersen"/>
        <s v="Conny Froboess"/>
        <s v="Heidi Brьhl"/>
        <s v="Nora Nova"/>
        <s v="Ulla Wiesner"/>
        <s v="Margot Eskens"/>
        <s v="Inge Brьck"/>
        <s v="Wencke Myhre"/>
        <s v="Siw Malmkvist"/>
        <s v="Katja Ebstein"/>
        <s v="Mary Roos"/>
        <s v="Gitte"/>
        <s v="Cindy und Bert"/>
        <s v="Joy Fleming"/>
        <s v="Les Humphries Singers"/>
        <s v="Silver Convention"/>
        <s v="Ireen Sheer"/>
        <s v="Dschinghis Khan"/>
        <s v="Lena Valaitis"/>
        <s v="Nicole"/>
        <s v="Hoffmann und Hoffmann"/>
        <s v="Wind"/>
        <s v="Ingrid Peters"/>
        <s v="Maxi and Chris Garden"/>
        <s v="Nino de Angelo"/>
        <s v="Chris Kempers and Daniel Kovac"/>
        <s v="Atlantis 2000"/>
        <s v="Mьnchener Freiheit"/>
        <s v="MeKaDo"/>
        <s v="Stone and Stone"/>
        <s v="Bianca Shomburg"/>
        <s v="Guildo Horn"/>
        <s v="Sьrpriz"/>
        <s v="Stefan Raab"/>
        <s v="Michelle"/>
        <s v="Corinna May"/>
        <s v="Lou"/>
        <s v="Max (Maximilian Mutzke)"/>
        <s v="Gracia"/>
        <s v="Texas Lightning"/>
        <s v="Roger Cicero"/>
        <s v="No Angels"/>
        <s v="Alex Swings Oscar Sings!"/>
        <s v="Lena"/>
        <s v="Roman Lob"/>
        <s v="Cascada"/>
        <s v="Elaiza"/>
        <s v="Ann Sophie"/>
        <s v="Jamie-Lee"/>
        <s v="Levina"/>
        <s v="Michael Schulte"/>
        <s v="S!sters"/>
        <s v="Jendrik"/>
        <s v="Malik Harris"/>
        <s v="Marinella"/>
        <s v="Mariza Koch"/>
        <s v="Pascalis, Marianna, Robert and Bessy"/>
        <s v="Tania Tsanaklidou"/>
        <s v="Anna Vissi and the Epikouri"/>
        <s v="Yiannis Dimitras"/>
        <s v="Christie"/>
        <s v="Takis Biniaris"/>
        <s v="Bang"/>
        <s v="Aphroditi Fryda"/>
        <s v="Marianna"/>
        <s v="Christos Callow and Wave"/>
        <s v="Sofia Vossou"/>
        <s v="Cleopatra"/>
        <s v="Katerina Garbi"/>
        <s v="Costas Bigalis and the Sea Lovers"/>
        <s v="Elina Constantopoulou"/>
        <s v="Marianna Efstratiou"/>
        <s v="Marianna Zorba"/>
        <s v="Dionysia and Thalassa group"/>
        <s v="Antique"/>
        <s v="Michalis Rakintzis"/>
        <s v="Mando"/>
        <s v="Sakis Rouvas"/>
        <s v="Helena Paparizou"/>
        <s v="Sarbel"/>
        <s v="Kalomira"/>
        <s v="Giorgos Alkaios &amp; Friends"/>
        <s v="Loucas Yiorkas feat. Stereo Mike"/>
        <s v="Eleftheria Eleftheriou"/>
        <s v="Koza Mostra feat. Agathon Iakovidis"/>
        <s v="Freaky Fortune feat. RiskyKidd"/>
        <s v="Maria Elena Kyriakou"/>
        <s v="Demy"/>
        <s v="Katerine Duska"/>
        <s v="Stefania"/>
        <s v="Amanda Georgiadi Tenfjord"/>
        <s v="Friderika Bayer"/>
        <s v="Czaba Szigeti"/>
        <s v="VIP"/>
        <s v="Charlie"/>
        <s v="NOX"/>
        <s v="Magdi Rъzsa"/>
        <s v="Kati Wolf"/>
        <s v="Compact Disco"/>
        <s v="ByeAlex"/>
        <s v="Andrбs Kбllay-Saunders"/>
        <s v="Boogie"/>
        <s v="Freddie"/>
        <s v="Joci Pбpai"/>
        <s v="AWS"/>
        <s v="Icy"/>
        <s v="Halla Margarйt"/>
        <s v="Beathoven"/>
        <s v="Danнel Augъst Haraldsson"/>
        <s v="Stjуrnin"/>
        <s v="Stefбn and Eyfi"/>
        <s v="Heart 2 Heart"/>
        <s v="Inga"/>
        <s v="Sigga"/>
        <s v="Bу Halldуrsson"/>
        <s v="Anna Mjцll"/>
        <s v="Paul Oscar"/>
        <s v="Selma Bjцrnsdуttir"/>
        <s v="Einer Augъst Vнрisson en Telma Augъstdуttir"/>
        <s v="TwoTricky"/>
        <s v="Birgitta"/>
        <s v="Jуnsi"/>
        <s v="Euroband"/>
        <s v="Yohanna"/>
        <s v="Hera Bjцrk"/>
        <s v="Sjonni's Friends"/>
        <s v="Greta Salуme &amp; Jуnsi"/>
        <s v="Eythor Ingi"/>
        <s v="Pollapцnk"/>
        <s v="Hatari"/>
        <s v="Daрi og Gagnamagniр"/>
        <s v="Systur"/>
        <s v="Butch Moore"/>
        <s v="Dickie Rock"/>
        <s v="Sean Dunphy"/>
        <s v="Pat McGeegan"/>
        <s v="Muriel Day and the Lindsays"/>
        <s v="Dana"/>
        <s v="Angela Farrell"/>
        <s v="Sandie Jones"/>
        <s v="Maxi"/>
        <s v="Tina"/>
        <s v="The Swarbriggs"/>
        <s v="Red Hurley"/>
        <s v="The Swarbriggs Plus Two"/>
        <s v="Colm T. Wilkinson"/>
        <s v="Cathal Dunne"/>
        <s v="Johnny Logan"/>
        <s v="Sheeba"/>
        <s v="The Duskeys"/>
        <s v="Linda Martin"/>
        <s v="Maria Christian"/>
        <s v="Luv Bug"/>
        <s v="Jump the Gun"/>
        <s v="Kiev Connolly and the Missing Passengers"/>
        <s v="Liam Reilly"/>
        <s v="Kim Jackson"/>
        <s v="Niamh Kavanagh"/>
        <s v="Paul Harrington and Charlie McGettigan"/>
        <s v="Eddie Friel"/>
        <s v="Eimear Quinn"/>
        <s v="Marc Roberts"/>
        <s v="Dawn"/>
        <s v="The Mullan's"/>
        <s v="Eamonn Toal"/>
        <s v="Gary O'Shaughnessy"/>
        <s v="Mickey Harte"/>
        <s v="Chris Doran"/>
        <s v="Brian Kennedy"/>
        <s v="Dervish"/>
        <s v="Jedward"/>
        <s v="Ryan Dolan"/>
        <s v="Ryan O'Shaughnessy"/>
        <s v="Ilanit"/>
        <s v="Poogy"/>
        <s v="Shlomo Artzi"/>
        <s v="Chocolate, Menta, Mastik"/>
        <s v="Izhar Cohen and the Alphabeta"/>
        <s v="Milk and Honey"/>
        <s v="Habibi"/>
        <s v="Avi Toledano"/>
        <s v="Ofra Haza"/>
        <s v="Izhar Cohen"/>
        <s v="Moti Galadi and Sarai Tzuriel"/>
        <s v="Datner and Kushnir"/>
        <s v="Yardena Arazi"/>
        <s v="Gili ve Galit"/>
        <s v="Rita"/>
        <s v="Duo Datz"/>
        <s v="Dafna"/>
        <s v="Lakahat Shiru"/>
        <s v="Liora"/>
        <s v="Dana International"/>
        <s v="Eden"/>
        <s v="Ping Pong"/>
        <s v="Tal Sondak"/>
        <s v="Sarit Hadad"/>
        <s v="Lior Narkis"/>
        <s v="Shiri Maymon"/>
        <s v="Eddie Butler"/>
        <s v="Boaz"/>
        <s v="Noa &amp; Mira Awad"/>
        <s v="Harel Skaat"/>
        <s v="Nadav Guedj"/>
        <s v="Hovi Star"/>
        <s v="IMRI"/>
        <s v="Netta"/>
        <s v="Kobi Marimi"/>
        <s v="Eden Alene"/>
        <s v="Nunzio Gallo"/>
        <s v="Domenico Modugno"/>
        <s v="Renato Rascel"/>
        <s v="Betty Curtis"/>
        <s v="Claudio Villa"/>
        <s v="Emilio Pericoli"/>
        <s v="Gigliola Cinquetti"/>
        <s v="Bobby Solo"/>
        <s v="Sergio Endrigo"/>
        <s v="Iva Zanicchi"/>
        <s v="Gianni Morandi"/>
        <s v="Massimo Ranieri"/>
        <s v="Nicola di Bari"/>
        <s v="Wess and Dori Ghezzi"/>
        <s v="Romina and Al Bano"/>
        <s v="Mia Martini"/>
        <s v="Ricchi e Poveri"/>
        <s v="Matia Bazar"/>
        <s v="Alan Sorrenti"/>
        <s v="Riccardo Fogli"/>
        <s v="Alice and Battiato"/>
        <s v="Al Bano and Romina Power"/>
        <s v="Umberto Tozzi and Raf"/>
        <s v="Luca Barbarossa"/>
        <s v="Anna Oxa and Fausto Leali"/>
        <s v="Toto Cutugno"/>
        <s v="Peppino di Capri"/>
        <s v="Enrico Ruggeri"/>
        <s v="Jalisse"/>
        <s v="Raphael Gualazzi"/>
        <s v="Nina Zilli"/>
        <s v="Marco Mengoni"/>
        <s v="Emma"/>
        <s v="Il Volo"/>
        <s v="Francesca Michielin"/>
        <s v="Francesco Gabbani"/>
        <s v="Ermal Meta e Fabrizio Moro"/>
        <s v="Mahmood"/>
        <s v="Mеneskin"/>
        <s v="Mahmood &amp; Blanco"/>
        <s v="BrainStorm"/>
        <s v="Arnis Mednis"/>
        <s v="Marie N"/>
        <s v="F.L.Y."/>
        <s v="Walter &amp; Kazha"/>
        <s v="Cosmos"/>
        <s v="Bonaparti.lv"/>
        <s v="Pirates Of The Sea"/>
        <s v="Aminata"/>
        <s v="Justs"/>
        <s v="Ovidijus Vysniauskas"/>
        <s v="Aiste Smilgeviciute"/>
        <s v="Skamp"/>
        <s v="Aivaras"/>
        <s v="LT United"/>
        <s v="4Fun"/>
        <s v="Sasha Son"/>
        <s v="Evelina Saљenko"/>
        <s v="Donny Montell"/>
        <s v="Andrius Pojavis"/>
        <s v="Monika Linkyt? and Vaidas Baumila"/>
        <s v="Ieva Zasimauskait?"/>
        <s v="The Roop"/>
        <s v="Monika Liu"/>
        <s v="Daniиle Duprй"/>
        <s v="Solange Berry"/>
        <s v="Camillo Felgen"/>
        <s v="Jean-Claude Pascal"/>
        <s v="Nana Mouskouri"/>
        <s v="Hugues Aufray"/>
        <s v="France Gall"/>
        <s v="Michиle Torr"/>
        <s v="Vicky"/>
        <s v="Chris Baldo and Sophie Garel"/>
        <s v="Romuald"/>
        <s v="David-Alexandre Winter"/>
        <s v="Monique Melsen"/>
        <s v="Vicky Leandros"/>
        <s v="Gйraldine"/>
        <s v="Jьrgen Marcus"/>
        <s v="Anne Marie B."/>
        <s v="Baccara"/>
        <s v="Jeane Manson"/>
        <s v="Sophie and Magaly"/>
        <s v="Svetlana"/>
        <s v="Corinne Hermиs"/>
        <s v="Sophie Carle"/>
        <s v="Margo, Franck Olivier, Diane Solomon, Ireen Sheer, Malcolm Roberts,Chris Roberts"/>
        <s v="Sherisse Laurence"/>
        <s v="Plastic Bertrand"/>
        <s v="Lara Fabian"/>
        <s v="Park Cafй"/>
        <s v="Cйline Carzo"/>
        <s v="Sarah Bray"/>
        <s v="Marion Welter and Kontinent"/>
        <s v="Modern Times"/>
        <s v="Vlado Janevski"/>
        <s v="XXL"/>
        <s v="Karolina"/>
        <s v="Tose Proeski"/>
        <s v="Martin Vucic"/>
        <s v="Elena Risteska"/>
        <s v="Kaliopi"/>
        <s v="Tamara Todevska"/>
        <s v="Joe Grech"/>
        <s v="Helen and Joseph"/>
        <s v="Renato"/>
        <s v="Paul Giordimaina and Georgina"/>
        <s v="Mary Spiteri"/>
        <s v="William Mangion"/>
        <s v="Moira Stafrace and Christopher Scicluna"/>
        <s v="Mike Spiteri"/>
        <s v="Miriam Christine"/>
        <s v="Debbie Scerri"/>
        <s v="Chiara"/>
        <s v="Times 3"/>
        <s v="Claudette Pace"/>
        <s v="Fabrizio Faniello"/>
        <s v="Ira Losco"/>
        <s v="Lynn Chirchop"/>
        <s v="Julie &amp; Ludwig"/>
        <s v="Kurt Calleja"/>
        <s v="Gianluca"/>
        <s v="Firelight"/>
        <s v="Michela"/>
        <s v="Destiny"/>
        <s v="Zdob si Zdub"/>
        <s v="Arsenium &amp; Natalia Gordienko"/>
        <s v="Natalia Barbu"/>
        <s v="Nelly Ciobanu"/>
        <s v="Sunstroke Project &amp; Olia Tira"/>
        <s v="Zdob ?i Zdub"/>
        <s v="Pasha Parfeny"/>
        <s v="Aliona Moon"/>
        <s v="Sunstroke Project"/>
        <s v="DoReDos"/>
        <s v="Natalia Gordienko"/>
        <s v="Zdob ?i Zdub &amp; Fra?ii Advahov"/>
        <s v="Jacques Pills"/>
        <s v="Franзois Deguelt"/>
        <s v="Colette Derйal"/>
        <s v="Franзoise Hardy"/>
        <s v="Marjorie Noлl"/>
        <s v="Tereza"/>
        <s v="Minouche Barelli"/>
        <s v="Line and Willy"/>
        <s v="Jean-Jacques"/>
        <s v="Dominique Dussault"/>
        <s v="Sйverine"/>
        <s v="Anne-Marie Godart and Peter MacLane"/>
        <s v="Marie"/>
        <s v="Sophie"/>
        <s v="Mary Christy"/>
        <s v="Caline and Olivier Toussaint"/>
        <s v="Laurent Vaguener"/>
        <s v="Sergej ?etkovi?"/>
        <s v="Knez"/>
        <s v="Samira Bensaпd"/>
        <s v="Corry Brokken"/>
        <s v="Teddy Scholten"/>
        <s v="Rudi Carrell"/>
        <s v="Greetje Kauffeld"/>
        <s v="De Spelbrekers"/>
        <s v="Annie Palmen"/>
        <s v="Anneke Grцnloh"/>
        <s v="Conny Van den bos"/>
        <s v="Milly Scott"/>
        <s v="Thйrиse Steinmetz"/>
        <s v="Ronnie Tober"/>
        <s v="Lenny Kuhr"/>
        <s v="Patricia and Hearts of Soul"/>
        <s v="Saskia and Serge"/>
        <s v="Sandra and Andres"/>
        <s v="Ben Cramer"/>
        <s v="Mouth and MacNeal"/>
        <s v="Teach-In"/>
        <s v="Sandra Reemer"/>
        <s v="Heddy Lester"/>
        <s v="Harmony"/>
        <s v="Xandra"/>
        <s v="Maggie MacNeal"/>
        <s v="Linda Williams"/>
        <s v="Bill van Dijk"/>
        <s v="Bernadette"/>
        <s v="Maribelle"/>
        <s v="Frizzle Sizzle"/>
        <s v="Marcha"/>
        <s v="Gerard Joling"/>
        <s v="Justine Pelmelay"/>
        <s v="Maywood"/>
        <s v="Humphrey Campbell"/>
        <s v="Ruth Jacott"/>
        <s v="Willeke Alberti"/>
        <s v="Maxine and Franklin Brown"/>
        <s v="Mrs. Einstein"/>
        <s v="Edsilia Rombley"/>
        <s v="Marlayne"/>
        <s v="Linda Wagenmakers"/>
        <s v="Esther Hart"/>
        <s v="Re-union"/>
        <s v="Anouk"/>
        <s v="The Common Linnets"/>
        <s v="Douwe Bob"/>
        <s v="OG3NE"/>
        <s v="Waylon"/>
        <s v="Duncan Laurence"/>
        <s v="Jeangu Macrooy"/>
        <s v="S10"/>
        <s v="Nora Brockstedt"/>
        <s v="Inger Jacobsen"/>
        <s v="Anita Thallaug"/>
        <s v="Arne Bendiksen"/>
        <s v="Kirsti Sparboe"/>
        <s v="Еse Kleveland"/>
        <s v="Odd Bшrre"/>
        <s v="Hanne Krogh"/>
        <s v="Grethe Kausland and Benny Borg"/>
        <s v="Bendik Singers"/>
        <s v="Anne-Karine Strцm and the Bendik Singers"/>
        <s v="Ellen Nikolaysen"/>
        <s v="Anne-Karine Strцm"/>
        <s v="Anita Skorgan"/>
        <s v="Jahn Teigen"/>
        <s v="Sverre Kjellsberg and Mattis Hжtta"/>
        <s v="Finn Kalvik"/>
        <s v="Jahn Teigen and Anita Skorgan"/>
        <s v="Dollie de Luxe"/>
        <s v="Bobbysocks"/>
        <s v="Ketil Stokkan"/>
        <s v="Kate Gulbrandsen"/>
        <s v="Karoline Krьger"/>
        <s v="Britt Synnшve Johansen"/>
        <s v="Just 4 Fun"/>
        <s v="Merethe Trшan"/>
        <s v="Silje Vige"/>
        <s v="Elisabeth Andreasson and Jan Werner Danielsen"/>
        <s v="Secret Garden"/>
        <s v="Elisabeth Andreasson"/>
        <s v="Tor Endresen"/>
        <s v="Lars A. Fredriksen"/>
        <s v="Stig Andrй Van Eijk"/>
        <s v="Charmed"/>
        <s v="Haldor Lжgreid"/>
        <s v="Jostein Hasselgеrd"/>
        <s v="Knut Anders Sшrum"/>
        <s v="Wig Wam"/>
        <s v="Christine Guldbrandsen"/>
        <s v="Maria"/>
        <s v="Alexander Rybak"/>
        <s v="Didrik Solli-Tangen"/>
        <s v="Tooji"/>
        <s v="Margaret Berger"/>
        <s v="Carl Espen"/>
        <s v="Mшrland &amp; Debrah Scarlett"/>
        <s v="JOWST"/>
        <s v="KEiiNO"/>
        <s v="TIX"/>
        <s v="Subwoolfer"/>
        <s v="Edyta Gуrniak"/>
        <s v="Justyna"/>
        <s v="Kasia Kowalska"/>
        <s v="Anna Maria Jopek"/>
        <s v="Sixteen"/>
        <s v="Mietek (Mieczyslaw) Szczesniak"/>
        <s v="Piasek"/>
        <s v="Ich Troje"/>
        <s v="Blue Cafe"/>
        <s v="Isis Gee"/>
        <s v="Donatan &amp; Cleo"/>
        <s v="Monika Kuszy?ska"/>
        <s v="Micha? Szpak"/>
        <s v="Kasia Mo?"/>
        <s v="Ochman"/>
        <s v="Antуnio Calvбrio"/>
        <s v="Simone de Oliviera"/>
        <s v="Madalena Iglesias"/>
        <s v="Eduardo Nascimento"/>
        <s v="Carlos Mendes"/>
        <s v="Simone de Oliveira"/>
        <s v="Tonicha"/>
        <s v="Fernando Tordo"/>
        <s v="Paulo de Carvalho"/>
        <s v="Duarte Mendes"/>
        <s v="Carlos do Carmo"/>
        <s v="Os Amigos"/>
        <s v="Gemini"/>
        <s v="Manuela Bravo"/>
        <s v="Josй Cid"/>
        <s v="Carlos Paiгo"/>
        <s v="Doce"/>
        <s v="Armando Gama"/>
        <s v="Maria Guinot"/>
        <s v="Adelaпde"/>
        <s v="Dora"/>
        <s v="Nevada"/>
        <s v="Da Vinci"/>
        <s v="Nucha"/>
        <s v="Dulce"/>
        <s v="Dinб"/>
        <s v="Anabela"/>
        <s v="Sara Tavares"/>
        <s v="Tу Cruz"/>
        <s v="Lъcia Moniz"/>
        <s v="Cйlia Lawson"/>
        <s v="Alma Lusa"/>
        <s v="Rui Bandeira"/>
        <s v="MTM"/>
        <s v="Rita Guerra"/>
        <s v="Vвnia Fernandes"/>
        <s v="Flor-de-lis"/>
        <s v="Filipa Azevedo"/>
        <s v="Salvador Sobral"/>
        <s v="Clбudia Pascoal"/>
        <s v="The Black Mamba"/>
        <s v="MARO"/>
        <s v="Dan Bittman"/>
        <s v="Malina Olinescu"/>
        <s v="Taxi"/>
        <s v="Monica Anghel &amp; Marcel Pavel"/>
        <s v="Nicola"/>
        <s v="Sanda Ladosi"/>
        <s v="Luminita Anghel &amp; Sistem"/>
        <s v="Mihai Traistariu"/>
        <s v="Todomondo"/>
        <s v="Nico &amp; Vlad"/>
        <s v="Elena"/>
        <s v="Paula Seling &amp; Ovi"/>
        <s v="Hotel FM"/>
        <s v="Mandinga"/>
        <s v="Cezar"/>
        <s v="Voltaj"/>
        <s v="Ilinca ft. Alex Florea"/>
        <s v="WRS"/>
        <s v="Youddiph"/>
        <s v="Philipp Kirkorov"/>
        <s v="Alla Pugachova"/>
        <s v="Alsou"/>
        <s v="Mumiy troll"/>
        <s v="Prime minister"/>
        <s v="t.A.T.u."/>
        <s v="Julia Savicheva"/>
        <s v="Natalia Podolskaya"/>
        <s v="Dima Bilan"/>
        <s v="Serebro"/>
        <s v="Anastasia Prikhodko"/>
        <s v="Peter Nalitch &amp; Friends"/>
        <s v="Alexej Vorobjov"/>
        <s v="Buranovskiye Babushki"/>
        <s v="Dina Garipova"/>
        <s v="Tolmachevy Sisters"/>
        <s v="Polina Gagarina"/>
        <s v="Sergey Lazarev"/>
        <s v="Manizha"/>
        <s v="Valentina Monetta"/>
        <s v="Serhat"/>
        <s v="Senhit"/>
        <s v="Marija Љerifovi?"/>
        <s v="Jelena Tomaљevi? feat. Bora Dugic"/>
        <s v="Milan Stankovi?"/>
        <s v="Nina"/>
        <s v="Ћeljko Joksimovi?"/>
        <s v="Bojana Stamenov"/>
        <s v="Sanja Vu?i? ZAA"/>
        <s v="Sanja Ili? &amp; Balkanika"/>
        <s v="Nevena Boћovi?"/>
        <s v="Hurricane"/>
        <s v="Konstrakta"/>
        <s v="No Name"/>
        <s v="Martin Durinda and Tublatanka"/>
        <s v="Marcel Palonder"/>
        <s v="Katarнna Hasprovб"/>
        <s v="1X Band"/>
        <s v="Darja Svajger"/>
        <s v="Tanja Ribic"/>
        <s v="Vili Resnik"/>
        <s v="Nuљa Derenda"/>
        <s v="Sestre"/>
        <s v="Karmen"/>
        <s v="Alenka Gotar"/>
        <s v="Maja Keuc"/>
        <s v="Tinkara Kova?"/>
        <s v="Maraaya"/>
        <s v="Lea Sirk"/>
        <s v="Zala Kralj &amp; Gaљper Љantl"/>
        <s v="Conchita Bautista"/>
        <s v="Victor Balaguer"/>
        <s v="Josй Guardiola"/>
        <s v="Tim, Nelly and Tony"/>
        <s v="Raphael"/>
        <s v="Massiel"/>
        <s v="Salomй"/>
        <s v="Julio Iglesias"/>
        <s v="Karina"/>
        <s v="Jaime Morey"/>
        <s v="Mocedades"/>
        <s v="Peret"/>
        <s v="Sergio y Estнbaliz"/>
        <s v="Braulio"/>
        <s v="Micky"/>
        <s v="Josй Vйlez"/>
        <s v="Betty Missiego"/>
        <s v="Trigo Limpio"/>
        <s v="Bacchelli"/>
        <s v="Lucнa"/>
        <s v="Remedios Amaya"/>
        <s v="Bravo"/>
        <s v="Paloma San Basilio"/>
        <s v="Cadillac"/>
        <s v="Patricia Kraus"/>
        <s v="La Dйcada"/>
        <s v="Azъcar Moreno"/>
        <s v="Sergio Dalma"/>
        <s v="Serafin"/>
        <s v="Eva Santamaria"/>
        <s v="Alejandro Abad"/>
        <s v="Anabel Conde"/>
        <s v="Antonio Carbonell"/>
        <s v="Marcos Llunas"/>
        <s v="Mikel Herzog"/>
        <s v="Lydia"/>
        <s v="Serafнn Zubiri"/>
        <s v="David Civera"/>
        <s v="Rosa"/>
        <s v="Beth"/>
        <s v="Ramуn"/>
        <s v="Son de sol"/>
        <s v="Las Ketchup"/>
        <s v="NASH"/>
        <s v="Rodolfo Chikilicuatre"/>
        <s v="Soraya"/>
        <s v="Daniel Diges"/>
        <s v="Lucнa Pйrez"/>
        <s v="Pastora Soler"/>
        <s v="ESDM"/>
        <s v="Ruth Lorenzo"/>
        <s v="Edurne"/>
        <s v="Barei"/>
        <s v="Manel Navarro"/>
        <s v="Amaia y Alfred"/>
        <s v="Miki"/>
        <s v="Blas Cantу"/>
        <s v="Chanel"/>
        <s v="Alice Babs"/>
        <s v="Brita Borg"/>
        <s v="Lill-Babs"/>
        <s v="Inger Berggren"/>
        <s v="Monica Zetterlund"/>
        <s v="Ingvar Wixell"/>
        <s v="Lill Lindfors and Svante Thuresson"/>
        <s v="Цsten Warnebring"/>
        <s v="Claes-Gцran Hederstrцm"/>
        <s v="Tommy Kцrberg"/>
        <s v="Family Four"/>
        <s v="The Nova and The Dolls"/>
        <s v="ABBA"/>
        <s v="Lars Berghagen and the Dolls"/>
        <s v="Forbes"/>
        <s v="Bjцrn Skifs"/>
        <s v="Ted Gдrdestad"/>
        <s v="Tomas Ledin"/>
        <s v="Chips"/>
        <s v="Carola Hдggkvist"/>
        <s v="Herrey's"/>
        <s v="Kikki Danielsson"/>
        <s v="Lasse Holm and Monica Tцrnell"/>
        <s v="Lotta Engberg"/>
        <s v="Tommy Nilsson"/>
        <s v="Edin-Еdahl"/>
        <s v="Carola"/>
        <s v="Christer Bjцrkmann"/>
        <s v="Arvingarna"/>
        <s v="Marie Bergman and Roger Pontare"/>
        <s v="Jan Johansen"/>
        <s v="One More Time"/>
        <s v="Blond"/>
        <s v="Jill Johnson"/>
        <s v="Charlotte Nilsson"/>
        <s v="Roger Pontare"/>
        <s v="Friends"/>
        <s v="Afro-dite"/>
        <s v="Fame"/>
        <s v="Lena Philipsson"/>
        <s v="Martin Stenmarck"/>
        <s v="The Ark"/>
        <s v="Charlotte Perrelli"/>
        <s v="Malena Ernman"/>
        <s v="Eric Saade"/>
        <s v="Loreen"/>
        <s v="Robin Stjernberg"/>
        <s v="Sanna Nielsen"/>
        <s v="Mеns Zelmerlцw"/>
        <s v="Frans"/>
        <s v="Robin Bengtsson"/>
        <s v="Benjamin Ingrosso"/>
        <s v="John Lundvik"/>
        <s v="Tusse"/>
        <s v="Cornelia Jakobs"/>
        <s v="Lys Assia"/>
        <s v="Christa Williams"/>
        <s v="Anita Traversi"/>
        <s v="Franca di Rienzo"/>
        <s v="Esther Ofarim"/>
        <s v="Yovanna"/>
        <s v="Madeleine Pascal"/>
        <s v="Gianni Mascolo"/>
        <s v="Paola del Medico"/>
        <s v="Henri Dиs"/>
        <s v="Peter, Sue and Marc"/>
        <s v="Vйronique Mьller"/>
        <s v="Patrick Juvet"/>
        <s v="Piera Martell"/>
        <s v="Simone Drexel"/>
        <s v="Pepe Lienhard Band"/>
        <s v="Carole Vinci"/>
        <s v="Peter, Sue and Marc and Pfuri, Gorps and Kniri"/>
        <s v="Paola"/>
        <s v="Arlette Zola"/>
        <s v="Mariella Farrй"/>
        <s v="Rainy Day"/>
        <s v="Mariella Farrй and Pino Gasparini"/>
        <s v="Daniela Simons"/>
        <s v="Carole Rich"/>
        <s v="Cйline Dion"/>
        <s v="Furbaz"/>
        <s v="Egon Egemann"/>
        <s v="Sandra Simт"/>
        <s v="Daisy Auvray"/>
        <s v="Annie Cotton"/>
        <s v="Duilio"/>
        <s v="Cathy Leander"/>
        <s v="Barbara Berta"/>
        <s v="Gunvor"/>
        <s v="Jane Bogaert"/>
        <s v="Francine Jordi"/>
        <s v="Vanilla Ninja"/>
        <s v="Six4One"/>
        <s v="Anna Rossinelli"/>
        <s v="Sebalter"/>
        <s v="Luca Hдnni"/>
        <s v="Gjon's Tears"/>
        <s v="Marius Bear"/>
        <s v="Semiha Yanki"/>
        <s v="Nazar"/>
        <s v="Ajda Pekkan"/>
        <s v="Modern Folk Trio and Aysegьl"/>
        <s v="Neзo"/>
        <s v="Зetin Alp and the Short Wave"/>
        <s v="Bes Yil Цnce, On Yil Sonra"/>
        <s v="MFЦ"/>
        <s v="Klips ve Onlar"/>
        <s v="Seyyal Tanner and Lokomotif"/>
        <s v="Pan"/>
        <s v="Kayahan"/>
        <s v="Izel Зelikцz, Rayhan Soykarзi and Can Ugurluйr"/>
        <s v="Aylin Vatankos"/>
        <s v="Burak Aydos, Цztьrk Baybora &amp; Serter"/>
        <s v="Arzu Ece"/>
        <s v="Sebnem Paker"/>
        <s v="Sebnem Paker and Group Etnic"/>
        <s v="Tьzmen"/>
        <s v="Tuba Цnal &amp; Grup Mystik"/>
        <s v="Pinar Ayhan &amp; S.O.S. band"/>
        <s v="Sedat Yьce"/>
        <s v="Buket Bengisu &amp; Saphire"/>
        <s v="Sertab Erener"/>
        <s v="Athena"/>
        <s v="Gьlseren"/>
        <s v="Sibel Tьzьn"/>
        <s v="Kenan Dogulu"/>
        <s v="Mor ve Цtesi"/>
        <s v="Hadise"/>
        <s v="maNga"/>
        <s v="Can Bonomo"/>
        <s v="Olexandr"/>
        <s v="Ruslana"/>
        <s v="Greenjolly"/>
        <s v="Tina Karol"/>
        <s v="Verka Serduchka"/>
        <s v="Ani Lorak"/>
        <s v="Svetlana Loboda"/>
        <s v="Alyosha"/>
        <s v="Mika Newton"/>
        <s v="Gaitana"/>
        <s v="Zlata Ognevich"/>
        <s v="Mariya Yaremchuk"/>
        <s v="Jamala"/>
        <s v="O.Torvald"/>
        <s v="MELOVIN"/>
        <s v="Go_A"/>
        <s v="Kalush Orchestra"/>
        <s v="Patricia Bredin"/>
        <s v="Pearl Carr and Teddy Johnson"/>
        <s v="Bryan Johnson"/>
        <s v="The Allisons"/>
        <s v="Ronnie Carroll"/>
        <s v="Matt Monro"/>
        <s v="Kathy Kirby"/>
        <s v="Kenneth McKellar"/>
        <s v="Sandie Shaw"/>
        <s v="Cliff Richard"/>
        <s v="Lulu"/>
        <s v="Mary Hopkin"/>
        <s v="Clodagh Rodgers"/>
        <s v="The New Seekers"/>
        <s v="Olivia Newton-John"/>
        <s v="The Shadows"/>
        <s v="Brotherhood of Man"/>
        <s v="Lynsey de Paul and Mike Moran"/>
        <s v="Co-Co"/>
        <s v="Black Lace"/>
        <s v="Prima Donna"/>
        <s v="Bucks Fizz"/>
        <s v="Bardo"/>
        <s v="Sweet Dreams"/>
        <s v="Belle and the Devotions"/>
        <s v="Vikki"/>
        <s v="Ryder"/>
        <s v="Rikki"/>
        <s v="Scott Fitzgerald"/>
        <s v="Live Report"/>
        <s v="Samantha Janus"/>
        <s v="Michael Ball"/>
        <s v="Sonia"/>
        <s v="Frances Ruffelle"/>
        <s v="Love City Groove"/>
        <s v="Gina G"/>
        <s v="Katrina and The Waves"/>
        <s v="Imaani"/>
        <s v="Precious"/>
        <s v="Nicki French"/>
        <s v="Lindsay D."/>
        <s v="Jessica Garlick"/>
        <s v="Jemini"/>
        <s v="James Fox"/>
        <s v="Javine"/>
        <s v="Daz Sampson"/>
        <s v="Scooch"/>
        <s v="Andy Abraham"/>
        <s v="Jade Ewen"/>
        <s v="Josh"/>
        <s v="Blue"/>
        <s v="Engelbert Humperdinck"/>
        <s v="Bonnie Tyler"/>
        <s v="Molly"/>
        <s v="Electro Velvet"/>
        <s v="Joe and Jake"/>
        <s v="Lucie Jones"/>
        <s v="SuRie"/>
        <s v="Michael Rice"/>
        <s v="James Newman"/>
        <s v="Sam Ryder"/>
        <s v="Ljiljana Petrovic"/>
        <s v="Lola Novakovic"/>
        <s v="Vice Vukov"/>
        <s v="Sabahudin Kurt"/>
        <s v="Berta Ambroz"/>
        <s v="Lado Leskovar"/>
        <s v="Luci Kapurso and Hamo Hajdarhodzic"/>
        <s v="Ivan"/>
        <s v="Eva Srљen"/>
        <s v="Krunoslav Slabinac"/>
        <s v="Zdravko Colic"/>
        <s v="Korni"/>
        <s v="Pepel In Kri"/>
        <s v="Ambasadori"/>
        <s v="Seid-Memic Vajta"/>
        <s v="Aska"/>
        <s v="Danijel"/>
        <s v="Vlado and Isolda"/>
        <s v="Novi Fosili"/>
        <s v="Srebrna Krila"/>
        <s v="Riva"/>
        <s v="Tajci"/>
        <s v="Baby Doll"/>
        <s v="Extra Nena"/>
      </sharedItems>
    </cacheField>
    <cacheField name="Song" numFmtId="0">
      <sharedItems containsMixedTypes="1" containsNumber="1" containsInteger="1" minValue="1944" maxValue="1944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59">
  <r>
    <x v="0"/>
    <x v="0"/>
    <x v="0"/>
    <x v="0"/>
    <s v="7 (24)"/>
    <n v="9"/>
    <x v="0"/>
    <s v="The Image Of You"/>
  </r>
  <r>
    <x v="0"/>
    <x v="1"/>
    <x v="0"/>
    <x v="1"/>
    <s v="16 (24)"/>
    <n v="8"/>
    <x v="1"/>
    <s v="Tomorrow I Go"/>
  </r>
  <r>
    <x v="0"/>
    <x v="2"/>
    <x v="0"/>
    <x v="2"/>
    <s v="17 (25)"/>
    <n v="3"/>
    <x v="2"/>
    <s v="Zemrлn E Lamл Peng"/>
  </r>
  <r>
    <x v="0"/>
    <x v="3"/>
    <x v="0"/>
    <x v="3"/>
    <s v="17 (25)"/>
    <n v="19"/>
    <x v="3"/>
    <s v="Carry Me In Your Dreams"/>
  </r>
  <r>
    <x v="0"/>
    <x v="4"/>
    <x v="0"/>
    <x v="4"/>
    <s v="16 (25)"/>
    <n v="15"/>
    <x v="4"/>
    <s v="It's All About You"/>
  </r>
  <r>
    <x v="0"/>
    <x v="5"/>
    <x v="0"/>
    <x v="5"/>
    <s v="5 (26)"/>
    <n v="3"/>
    <x v="5"/>
    <s v="Suus"/>
  </r>
  <r>
    <x v="0"/>
    <x v="6"/>
    <x v="0"/>
    <x v="6"/>
    <s v="17 (27)"/>
    <n v="26"/>
    <x v="6"/>
    <s v="I'm Alive"/>
  </r>
  <r>
    <x v="0"/>
    <x v="7"/>
    <x v="0"/>
    <x v="7"/>
    <s v="11 (26)"/>
    <n v="12"/>
    <x v="7"/>
    <s v="Mall"/>
  </r>
  <r>
    <x v="0"/>
    <x v="8"/>
    <x v="0"/>
    <x v="8"/>
    <s v="17 (26)"/>
    <n v="2"/>
    <x v="8"/>
    <s v="Ktheju tokлs"/>
  </r>
  <r>
    <x v="0"/>
    <x v="9"/>
    <x v="0"/>
    <x v="9"/>
    <s v="21 (26)"/>
    <n v="2"/>
    <x v="9"/>
    <s v="Karma"/>
  </r>
  <r>
    <x v="1"/>
    <x v="10"/>
    <x v="0"/>
    <x v="10"/>
    <s v="8 (24)"/>
    <n v="24"/>
    <x v="10"/>
    <s v="Without Your Love"/>
  </r>
  <r>
    <x v="1"/>
    <x v="11"/>
    <x v="0"/>
    <x v="11"/>
    <s v="8 (24)"/>
    <n v="23"/>
    <x v="11"/>
    <s v="Anytime You Need"/>
  </r>
  <r>
    <x v="1"/>
    <x v="2"/>
    <x v="0"/>
    <x v="12"/>
    <s v="4 (25)"/>
    <n v="5"/>
    <x v="12"/>
    <s v="Qele, Qele"/>
  </r>
  <r>
    <x v="1"/>
    <x v="3"/>
    <x v="0"/>
    <x v="13"/>
    <s v="10 (25)"/>
    <n v="9"/>
    <x v="13"/>
    <s v="Jan Jan"/>
  </r>
  <r>
    <x v="1"/>
    <x v="4"/>
    <x v="0"/>
    <x v="14"/>
    <s v="7 (25)"/>
    <n v="21"/>
    <x v="14"/>
    <s v="Apricot Stone"/>
  </r>
  <r>
    <x v="1"/>
    <x v="12"/>
    <x v="0"/>
    <x v="15"/>
    <s v="18 (26)"/>
    <n v="12"/>
    <x v="15"/>
    <s v="Lonely Planet"/>
  </r>
  <r>
    <x v="1"/>
    <x v="13"/>
    <x v="0"/>
    <x v="16"/>
    <s v="4 (26)"/>
    <n v="7"/>
    <x v="16"/>
    <s v="Not Alone"/>
  </r>
  <r>
    <x v="1"/>
    <x v="6"/>
    <x v="0"/>
    <x v="6"/>
    <s v="16 (27)"/>
    <n v="6"/>
    <x v="17"/>
    <s v="Face The Shadow"/>
  </r>
  <r>
    <x v="1"/>
    <x v="14"/>
    <x v="0"/>
    <x v="17"/>
    <s v="7 (26)"/>
    <n v="26"/>
    <x v="18"/>
    <s v="LoveWave"/>
  </r>
  <r>
    <x v="1"/>
    <x v="15"/>
    <x v="0"/>
    <x v="18"/>
    <s v="18 (26)"/>
    <n v="5"/>
    <x v="19"/>
    <s v="Fly With Me"/>
  </r>
  <r>
    <x v="1"/>
    <x v="16"/>
    <x v="0"/>
    <x v="19"/>
    <s v="20 (25)"/>
    <n v="8"/>
    <x v="20"/>
    <s v="Snap"/>
  </r>
  <r>
    <x v="2"/>
    <x v="6"/>
    <x v="0"/>
    <x v="20"/>
    <s v="5 (27)"/>
    <n v="12"/>
    <x v="21"/>
    <s v="Tonight Again"/>
  </r>
  <r>
    <x v="2"/>
    <x v="14"/>
    <x v="0"/>
    <x v="21"/>
    <s v="2 (26)"/>
    <n v="13"/>
    <x v="22"/>
    <s v="Sound Of Silence"/>
  </r>
  <r>
    <x v="2"/>
    <x v="15"/>
    <x v="0"/>
    <x v="22"/>
    <s v="9 (26)"/>
    <n v="14"/>
    <x v="23"/>
    <s v="Don't Come Easy"/>
  </r>
  <r>
    <x v="2"/>
    <x v="7"/>
    <x v="0"/>
    <x v="23"/>
    <s v="20 (26)"/>
    <n v="16"/>
    <x v="24"/>
    <s v="We Got Love"/>
  </r>
  <r>
    <x v="2"/>
    <x v="8"/>
    <x v="0"/>
    <x v="24"/>
    <s v="9 (26)"/>
    <n v="25"/>
    <x v="25"/>
    <s v="Zero Gravity"/>
  </r>
  <r>
    <x v="2"/>
    <x v="16"/>
    <x v="0"/>
    <x v="25"/>
    <s v="15 (25)"/>
    <n v="21"/>
    <x v="26"/>
    <s v="Not The Same"/>
  </r>
  <r>
    <x v="3"/>
    <x v="17"/>
    <x v="1"/>
    <x v="26"/>
    <s v="10 (10)"/>
    <n v="5"/>
    <x v="27"/>
    <s v="Wohin, Kleines Pony"/>
  </r>
  <r>
    <x v="3"/>
    <x v="18"/>
    <x v="1"/>
    <x v="27"/>
    <s v="5 (10)"/>
    <n v="9"/>
    <x v="28"/>
    <s v="Die Ganze Welt Braucht Liebe"/>
  </r>
  <r>
    <x v="3"/>
    <x v="19"/>
    <x v="1"/>
    <x v="28"/>
    <s v="9 (11)"/>
    <n v="9"/>
    <x v="29"/>
    <s v="Der K. Und K. Kalypso Aus Wien"/>
  </r>
  <r>
    <x v="3"/>
    <x v="20"/>
    <x v="1"/>
    <x v="29"/>
    <s v="7 (13)"/>
    <n v="7"/>
    <x v="30"/>
    <s v="Du Hast Mich So Fasziniert"/>
  </r>
  <r>
    <x v="3"/>
    <x v="21"/>
    <x v="1"/>
    <x v="30"/>
    <s v="15 (16)"/>
    <n v="3"/>
    <x v="31"/>
    <s v="Sehnsucht"/>
  </r>
  <r>
    <x v="3"/>
    <x v="22"/>
    <x v="1"/>
    <x v="31"/>
    <s v="13 (16)"/>
    <n v="4"/>
    <x v="32"/>
    <s v="Nur In Der Wiener Luft"/>
  </r>
  <r>
    <x v="3"/>
    <x v="23"/>
    <x v="1"/>
    <x v="32"/>
    <s v="7 (16)"/>
    <n v="4"/>
    <x v="33"/>
    <s v="Vielleicht Geschieht Ein Wunder"/>
  </r>
  <r>
    <x v="3"/>
    <x v="24"/>
    <x v="1"/>
    <x v="33"/>
    <s v="6 (16)"/>
    <n v="6"/>
    <x v="34"/>
    <s v="Warum Nur, Warum?"/>
  </r>
  <r>
    <x v="3"/>
    <x v="25"/>
    <x v="1"/>
    <x v="32"/>
    <s v="4 (18)"/>
    <n v="6"/>
    <x v="34"/>
    <s v="Sag Ihr, Ich Lass' Sie GrьЯen"/>
  </r>
  <r>
    <x v="3"/>
    <x v="26"/>
    <x v="1"/>
    <x v="34"/>
    <s v="1 (18)"/>
    <n v="9"/>
    <x v="34"/>
    <s v="Merci Chйrie"/>
  </r>
  <r>
    <x v="3"/>
    <x v="27"/>
    <x v="1"/>
    <x v="35"/>
    <s v="14 (17)"/>
    <n v="3"/>
    <x v="35"/>
    <s v="Warum Es Hunderttausend Sterne Gibt"/>
  </r>
  <r>
    <x v="3"/>
    <x v="28"/>
    <x v="1"/>
    <x v="35"/>
    <s v="13 (17)"/>
    <n v="4"/>
    <x v="36"/>
    <s v="Tausend Fenster"/>
  </r>
  <r>
    <x v="3"/>
    <x v="29"/>
    <x v="1"/>
    <x v="36"/>
    <s v="16 (18)"/>
    <n v="1"/>
    <x v="37"/>
    <s v="Musik"/>
  </r>
  <r>
    <x v="3"/>
    <x v="30"/>
    <x v="1"/>
    <x v="37"/>
    <s v="5 (18)"/>
    <n v="11"/>
    <x v="38"/>
    <s v="Falter Im Wind"/>
  </r>
  <r>
    <x v="3"/>
    <x v="31"/>
    <x v="1"/>
    <x v="38"/>
    <s v="5 (18)"/>
    <n v="14"/>
    <x v="39"/>
    <s v="My Little World"/>
  </r>
  <r>
    <x v="3"/>
    <x v="32"/>
    <x v="1"/>
    <x v="33"/>
    <s v="17 (18)"/>
    <n v="4"/>
    <x v="40"/>
    <s v="Boom Boom Boomerang"/>
  </r>
  <r>
    <x v="3"/>
    <x v="33"/>
    <x v="1"/>
    <x v="39"/>
    <s v="15 (20)"/>
    <n v="19"/>
    <x v="41"/>
    <s v="Mrs. Caroline Robinson"/>
  </r>
  <r>
    <x v="3"/>
    <x v="34"/>
    <x v="1"/>
    <x v="40"/>
    <s v="18 (19)"/>
    <n v="18"/>
    <x v="42"/>
    <s v="Heute In Jerusalem"/>
  </r>
  <r>
    <x v="3"/>
    <x v="35"/>
    <x v="1"/>
    <x v="41"/>
    <s v="8 (19)"/>
    <n v="1"/>
    <x v="43"/>
    <s v="Du Bist Musik"/>
  </r>
  <r>
    <x v="3"/>
    <x v="36"/>
    <x v="1"/>
    <x v="42"/>
    <s v="17 (20)"/>
    <n v="1"/>
    <x v="44"/>
    <s v="Wenn Du Da Bist"/>
  </r>
  <r>
    <x v="3"/>
    <x v="37"/>
    <x v="1"/>
    <x v="9"/>
    <s v="9 (18)"/>
    <n v="10"/>
    <x v="45"/>
    <s v="Sonntag"/>
  </r>
  <r>
    <x v="3"/>
    <x v="38"/>
    <x v="1"/>
    <x v="1"/>
    <s v="9 (20)"/>
    <n v="18"/>
    <x v="46"/>
    <s v="Hurricane"/>
  </r>
  <r>
    <x v="3"/>
    <x v="39"/>
    <x v="1"/>
    <x v="40"/>
    <s v="19 (19)"/>
    <n v="13"/>
    <x v="47"/>
    <s v="Einfach Weg"/>
  </r>
  <r>
    <x v="3"/>
    <x v="40"/>
    <x v="1"/>
    <x v="43"/>
    <s v="8 (19)"/>
    <n v="17"/>
    <x v="48"/>
    <s v="Kinder Dieser Welt"/>
  </r>
  <r>
    <x v="3"/>
    <x v="41"/>
    <x v="1"/>
    <x v="44"/>
    <s v="18 (20)"/>
    <n v="16"/>
    <x v="49"/>
    <s v="Die Zeit Ist Einsam"/>
  </r>
  <r>
    <x v="3"/>
    <x v="42"/>
    <x v="1"/>
    <x v="27"/>
    <s v="20 (22)"/>
    <n v="3"/>
    <x v="48"/>
    <s v="Nur Noch Gefьhl"/>
  </r>
  <r>
    <x v="3"/>
    <x v="43"/>
    <x v="1"/>
    <x v="31"/>
    <s v="21 (21)"/>
    <n v="12"/>
    <x v="50"/>
    <s v="Lisa Mona Lisa"/>
  </r>
  <r>
    <x v="3"/>
    <x v="44"/>
    <x v="1"/>
    <x v="45"/>
    <s v="5 (22)"/>
    <n v="13"/>
    <x v="51"/>
    <s v="Nur Ein Lied"/>
  </r>
  <r>
    <x v="3"/>
    <x v="45"/>
    <x v="1"/>
    <x v="46"/>
    <s v="10 (22)"/>
    <n v="20"/>
    <x v="52"/>
    <s v="Keine Mauern Mehr"/>
  </r>
  <r>
    <x v="3"/>
    <x v="46"/>
    <x v="1"/>
    <x v="31"/>
    <s v="22 (22)"/>
    <n v="6"/>
    <x v="51"/>
    <s v="Venedig Im Regen"/>
  </r>
  <r>
    <x v="3"/>
    <x v="47"/>
    <x v="1"/>
    <x v="47"/>
    <s v="10 (23)"/>
    <n v="15"/>
    <x v="53"/>
    <s v="Zusammen Geh'n"/>
  </r>
  <r>
    <x v="3"/>
    <x v="48"/>
    <x v="1"/>
    <x v="48"/>
    <s v="14 (25)"/>
    <n v="10"/>
    <x v="53"/>
    <s v="Maria Magdalena"/>
  </r>
  <r>
    <x v="3"/>
    <x v="49"/>
    <x v="1"/>
    <x v="49"/>
    <s v="17 (25)"/>
    <n v="20"/>
    <x v="54"/>
    <s v="Fьr Den Frieden Der Welt"/>
  </r>
  <r>
    <x v="3"/>
    <x v="50"/>
    <x v="1"/>
    <x v="50"/>
    <s v="13 (23)"/>
    <n v="8"/>
    <x v="55"/>
    <s v="Die Welt Dreht Sich Verkehrt"/>
  </r>
  <r>
    <x v="3"/>
    <x v="51"/>
    <x v="1"/>
    <x v="51"/>
    <s v="10 (23)"/>
    <n v="8"/>
    <x v="56"/>
    <s v="Weil's Dr Guat Got"/>
  </r>
  <r>
    <x v="3"/>
    <x v="52"/>
    <x v="1"/>
    <x v="44"/>
    <s v="21 (25)"/>
    <n v="4"/>
    <x v="57"/>
    <s v="One Step"/>
  </r>
  <r>
    <x v="3"/>
    <x v="53"/>
    <x v="1"/>
    <x v="52"/>
    <s v="10 (23)"/>
    <n v="18"/>
    <x v="58"/>
    <s v="Reflection"/>
  </r>
  <r>
    <x v="3"/>
    <x v="54"/>
    <x v="1"/>
    <x v="6"/>
    <s v="14 (24)"/>
    <n v="24"/>
    <x v="59"/>
    <s v="All To You"/>
  </r>
  <r>
    <x v="3"/>
    <x v="55"/>
    <x v="1"/>
    <x v="53"/>
    <s v="18 (24)"/>
    <n v="3"/>
    <x v="60"/>
    <s v="Say A Word"/>
  </r>
  <r>
    <x v="3"/>
    <x v="56"/>
    <x v="1"/>
    <x v="54"/>
    <s v="6 (26)"/>
    <n v="2"/>
    <x v="61"/>
    <s v="Weil Der Mensch Zдhlt"/>
  </r>
  <r>
    <x v="3"/>
    <x v="0"/>
    <x v="0"/>
    <x v="55"/>
    <s v="21 (24)"/>
    <n v="2"/>
    <x v="62"/>
    <s v="Du Bist"/>
  </r>
  <r>
    <x v="3"/>
    <x v="57"/>
    <x v="0"/>
    <x v="41"/>
    <s v="18 (25)"/>
    <n v="18"/>
    <x v="63"/>
    <s v="The Secret Is Love"/>
  </r>
  <r>
    <x v="3"/>
    <x v="13"/>
    <x v="0"/>
    <x v="56"/>
    <s v="1 (26)"/>
    <n v="11"/>
    <x v="64"/>
    <s v="Rise Like a Phoenix"/>
  </r>
  <r>
    <x v="3"/>
    <x v="6"/>
    <x v="0"/>
    <x v="31"/>
    <s v="26 (27)"/>
    <n v="14"/>
    <x v="65"/>
    <s v="I Am Yours"/>
  </r>
  <r>
    <x v="3"/>
    <x v="14"/>
    <x v="0"/>
    <x v="57"/>
    <s v="13 (26)"/>
    <n v="24"/>
    <x v="66"/>
    <s v="Loin d'ici"/>
  </r>
  <r>
    <x v="3"/>
    <x v="15"/>
    <x v="0"/>
    <x v="58"/>
    <s v="16 (26)"/>
    <n v="4"/>
    <x v="67"/>
    <s v="Running On Air"/>
  </r>
  <r>
    <x v="3"/>
    <x v="7"/>
    <x v="0"/>
    <x v="59"/>
    <s v="3 (26)"/>
    <n v="5"/>
    <x v="68"/>
    <s v="Nobody But You"/>
  </r>
  <r>
    <x v="4"/>
    <x v="2"/>
    <x v="0"/>
    <x v="60"/>
    <s v="8 (25)"/>
    <n v="20"/>
    <x v="69"/>
    <s v="Day After Day"/>
  </r>
  <r>
    <x v="4"/>
    <x v="3"/>
    <x v="0"/>
    <x v="61"/>
    <s v="3 (25)"/>
    <n v="11"/>
    <x v="70"/>
    <s v="Always"/>
  </r>
  <r>
    <x v="4"/>
    <x v="4"/>
    <x v="0"/>
    <x v="62"/>
    <s v="5 (25)"/>
    <n v="1"/>
    <x v="71"/>
    <s v="Drip Drop"/>
  </r>
  <r>
    <x v="4"/>
    <x v="57"/>
    <x v="0"/>
    <x v="63"/>
    <s v="1 (25)"/>
    <n v="19"/>
    <x v="72"/>
    <s v="Running Scared"/>
  </r>
  <r>
    <x v="4"/>
    <x v="5"/>
    <x v="0"/>
    <x v="64"/>
    <s v="4 (26)"/>
    <n v="13"/>
    <x v="73"/>
    <s v="When The Music Dies"/>
  </r>
  <r>
    <x v="4"/>
    <x v="12"/>
    <x v="0"/>
    <x v="65"/>
    <s v="2 (26)"/>
    <n v="20"/>
    <x v="74"/>
    <s v="Hold Me"/>
  </r>
  <r>
    <x v="4"/>
    <x v="13"/>
    <x v="0"/>
    <x v="66"/>
    <s v="22 (26)"/>
    <n v="3"/>
    <x v="75"/>
    <s v="Start A Fire"/>
  </r>
  <r>
    <x v="4"/>
    <x v="6"/>
    <x v="0"/>
    <x v="67"/>
    <s v="12 (27)"/>
    <n v="24"/>
    <x v="76"/>
    <s v="Hour Of The Wolf"/>
  </r>
  <r>
    <x v="4"/>
    <x v="14"/>
    <x v="0"/>
    <x v="68"/>
    <s v="17 (26)"/>
    <n v="4"/>
    <x v="77"/>
    <s v="Miracle"/>
  </r>
  <r>
    <x v="4"/>
    <x v="15"/>
    <x v="0"/>
    <x v="69"/>
    <s v="14 (26)"/>
    <n v="12"/>
    <x v="78"/>
    <s v="Skeletons"/>
  </r>
  <r>
    <x v="4"/>
    <x v="8"/>
    <x v="0"/>
    <x v="70"/>
    <s v="8 (26)"/>
    <n v="20"/>
    <x v="79"/>
    <s v="Truth"/>
  </r>
  <r>
    <x v="4"/>
    <x v="9"/>
    <x v="0"/>
    <x v="52"/>
    <s v="20 (26)"/>
    <n v="21"/>
    <x v="80"/>
    <s v="Mata Hari"/>
  </r>
  <r>
    <x v="4"/>
    <x v="16"/>
    <x v="0"/>
    <x v="0"/>
    <s v="16 (25)"/>
    <n v="15"/>
    <x v="81"/>
    <s v="Fade To Black"/>
  </r>
  <r>
    <x v="5"/>
    <x v="11"/>
    <x v="0"/>
    <x v="62"/>
    <s v="6 (24)"/>
    <n v="3"/>
    <x v="82"/>
    <s v="Work Your Magic"/>
  </r>
  <r>
    <x v="5"/>
    <x v="4"/>
    <x v="0"/>
    <x v="71"/>
    <s v="24 (25)"/>
    <n v="9"/>
    <x v="83"/>
    <s v="Butterflies"/>
  </r>
  <r>
    <x v="5"/>
    <x v="12"/>
    <x v="0"/>
    <x v="3"/>
    <s v="16 (26)"/>
    <n v="8"/>
    <x v="84"/>
    <s v="Solayoh"/>
  </r>
  <r>
    <x v="5"/>
    <x v="13"/>
    <x v="0"/>
    <x v="72"/>
    <s v="16 (26)"/>
    <n v="2"/>
    <x v="85"/>
    <s v="Cheesecake"/>
  </r>
  <r>
    <x v="5"/>
    <x v="15"/>
    <x v="0"/>
    <x v="73"/>
    <s v="17 (26)"/>
    <n v="3"/>
    <x v="86"/>
    <s v="Story of My Life"/>
  </r>
  <r>
    <x v="5"/>
    <x v="8"/>
    <x v="0"/>
    <x v="34"/>
    <s v="24 (26)"/>
    <n v="19"/>
    <x v="87"/>
    <s v="Like It"/>
  </r>
  <r>
    <x v="6"/>
    <x v="17"/>
    <x v="1"/>
    <x v="40"/>
    <s v="8 (10)"/>
    <n v="1"/>
    <x v="88"/>
    <s v="Straatdeuntje"/>
  </r>
  <r>
    <x v="6"/>
    <x v="18"/>
    <x v="1"/>
    <x v="27"/>
    <s v="5 (10)"/>
    <n v="7"/>
    <x v="89"/>
    <s v="Ma Petite Chatte"/>
  </r>
  <r>
    <x v="6"/>
    <x v="19"/>
    <x v="1"/>
    <x v="55"/>
    <s v="6 (11)"/>
    <n v="11"/>
    <x v="90"/>
    <s v="Hou Toch Van Mij"/>
  </r>
  <r>
    <x v="6"/>
    <x v="20"/>
    <x v="1"/>
    <x v="55"/>
    <s v="6 (13)"/>
    <n v="5"/>
    <x v="89"/>
    <s v="Mon Amour Pour Toi"/>
  </r>
  <r>
    <x v="6"/>
    <x v="21"/>
    <x v="1"/>
    <x v="30"/>
    <s v="15 (16)"/>
    <n v="11"/>
    <x v="90"/>
    <s v="September, Gouden Roos"/>
  </r>
  <r>
    <x v="6"/>
    <x v="22"/>
    <x v="1"/>
    <x v="31"/>
    <s v="13 (16)"/>
    <n v="2"/>
    <x v="89"/>
    <s v="Ton Nom"/>
  </r>
  <r>
    <x v="6"/>
    <x v="23"/>
    <x v="1"/>
    <x v="28"/>
    <s v="10 (16)"/>
    <n v="14"/>
    <x v="91"/>
    <s v="Waarom"/>
  </r>
  <r>
    <x v="6"/>
    <x v="24"/>
    <x v="1"/>
    <x v="35"/>
    <s v="10 (16)"/>
    <n v="15"/>
    <x v="92"/>
    <s v="Prиs De Ma Riviиre"/>
  </r>
  <r>
    <x v="6"/>
    <x v="25"/>
    <x v="1"/>
    <x v="31"/>
    <s v="15 (18)"/>
    <n v="8"/>
    <x v="93"/>
    <s v="Als Het Weer Lente Is"/>
  </r>
  <r>
    <x v="6"/>
    <x v="26"/>
    <x v="1"/>
    <x v="39"/>
    <s v="4 (18)"/>
    <n v="3"/>
    <x v="94"/>
    <s v="Un Peu De Poivre, Un Peu De Sel"/>
  </r>
  <r>
    <x v="6"/>
    <x v="27"/>
    <x v="1"/>
    <x v="27"/>
    <s v="7 (17)"/>
    <n v="10"/>
    <x v="95"/>
    <s v="Ik Heb Zorgen"/>
  </r>
  <r>
    <x v="6"/>
    <x v="28"/>
    <x v="1"/>
    <x v="27"/>
    <s v="7 (17)"/>
    <n v="3"/>
    <x v="96"/>
    <s v="Quand Tu Reviendras"/>
  </r>
  <r>
    <x v="6"/>
    <x v="58"/>
    <x v="1"/>
    <x v="74"/>
    <s v="7 (16)"/>
    <n v="10"/>
    <x v="95"/>
    <s v="Jennifer Jennings"/>
  </r>
  <r>
    <x v="6"/>
    <x v="59"/>
    <x v="1"/>
    <x v="40"/>
    <s v="8 (12)"/>
    <n v="5"/>
    <x v="97"/>
    <s v="Viens L'oublier"/>
  </r>
  <r>
    <x v="6"/>
    <x v="29"/>
    <x v="1"/>
    <x v="51"/>
    <s v="14 (18)"/>
    <n v="10"/>
    <x v="98"/>
    <s v="Goeie Morgen, Morgen"/>
  </r>
  <r>
    <x v="6"/>
    <x v="30"/>
    <x v="1"/>
    <x v="2"/>
    <s v="17 (18)"/>
    <n v="16"/>
    <x v="99"/>
    <s v="А La Folie Ou Pas Du Tout"/>
  </r>
  <r>
    <x v="6"/>
    <x v="60"/>
    <x v="1"/>
    <x v="46"/>
    <s v="17 (17)"/>
    <n v="2"/>
    <x v="100"/>
    <s v="Baby, Baby"/>
  </r>
  <r>
    <x v="6"/>
    <x v="61"/>
    <x v="1"/>
    <x v="74"/>
    <s v="9 (17)"/>
    <n v="11"/>
    <x v="101"/>
    <s v="Fleur De Libertй"/>
  </r>
  <r>
    <x v="6"/>
    <x v="62"/>
    <x v="1"/>
    <x v="75"/>
    <s v="15 (19)"/>
    <n v="11"/>
    <x v="102"/>
    <s v="Gelukkig Zijn"/>
  </r>
  <r>
    <x v="6"/>
    <x v="31"/>
    <x v="1"/>
    <x v="51"/>
    <s v="8 (18)"/>
    <n v="6"/>
    <x v="103"/>
    <s v="Judy Et Cie."/>
  </r>
  <r>
    <x v="6"/>
    <x v="32"/>
    <x v="1"/>
    <x v="76"/>
    <s v="7 (18)"/>
    <n v="17"/>
    <x v="104"/>
    <s v="A Million In One, Two, Three"/>
  </r>
  <r>
    <x v="6"/>
    <x v="33"/>
    <x v="1"/>
    <x v="25"/>
    <s v="2 (20)"/>
    <n v="10"/>
    <x v="97"/>
    <s v="L'amour зa Fait Chanter La Vie"/>
  </r>
  <r>
    <x v="6"/>
    <x v="34"/>
    <x v="1"/>
    <x v="40"/>
    <s v="18 (19)"/>
    <n v="12"/>
    <x v="105"/>
    <s v="Hey Nana"/>
  </r>
  <r>
    <x v="6"/>
    <x v="35"/>
    <x v="1"/>
    <x v="39"/>
    <s v="17 (19)"/>
    <n v="19"/>
    <x v="106"/>
    <s v="Euro-vision"/>
  </r>
  <r>
    <x v="6"/>
    <x v="36"/>
    <x v="1"/>
    <x v="77"/>
    <s v="13 (20)"/>
    <n v="16"/>
    <x v="107"/>
    <s v="Samson"/>
  </r>
  <r>
    <x v="6"/>
    <x v="37"/>
    <x v="1"/>
    <x v="78"/>
    <s v="4 (18)"/>
    <n v="11"/>
    <x v="108"/>
    <s v="Si Tu Aimes Ma Musique"/>
  </r>
  <r>
    <x v="6"/>
    <x v="38"/>
    <x v="1"/>
    <x v="79"/>
    <s v="18 (20)"/>
    <n v="19"/>
    <x v="109"/>
    <s v="Rendez-vous"/>
  </r>
  <r>
    <x v="6"/>
    <x v="39"/>
    <x v="1"/>
    <x v="80"/>
    <s v="5 (19)"/>
    <n v="8"/>
    <x v="110"/>
    <s v="Avanti La Vie"/>
  </r>
  <r>
    <x v="6"/>
    <x v="40"/>
    <x v="1"/>
    <x v="81"/>
    <s v="19 (19)"/>
    <n v="8"/>
    <x v="111"/>
    <s v="Laat Me Nu Gaan"/>
  </r>
  <r>
    <x v="6"/>
    <x v="41"/>
    <x v="1"/>
    <x v="82"/>
    <s v="1 (20)"/>
    <n v="13"/>
    <x v="112"/>
    <s v="J'aime La Vie"/>
  </r>
  <r>
    <x v="6"/>
    <x v="42"/>
    <x v="1"/>
    <x v="83"/>
    <s v="11 (22)"/>
    <n v="5"/>
    <x v="113"/>
    <s v="Soldiers Of Love"/>
  </r>
  <r>
    <x v="6"/>
    <x v="43"/>
    <x v="1"/>
    <x v="40"/>
    <s v="18 (21)"/>
    <n v="16"/>
    <x v="114"/>
    <s v="Laissez Briller Le Soleil"/>
  </r>
  <r>
    <x v="6"/>
    <x v="44"/>
    <x v="1"/>
    <x v="79"/>
    <s v="19 (22)"/>
    <n v="6"/>
    <x v="115"/>
    <s v="Door De Wind"/>
  </r>
  <r>
    <x v="6"/>
    <x v="45"/>
    <x v="1"/>
    <x v="84"/>
    <s v="12 (22)"/>
    <n v="3"/>
    <x v="116"/>
    <s v="Macйdomienne"/>
  </r>
  <r>
    <x v="6"/>
    <x v="46"/>
    <x v="1"/>
    <x v="85"/>
    <s v="16 (22)"/>
    <n v="18"/>
    <x v="117"/>
    <s v="Geef Het Op"/>
  </r>
  <r>
    <x v="6"/>
    <x v="47"/>
    <x v="1"/>
    <x v="33"/>
    <s v="20 (23)"/>
    <n v="2"/>
    <x v="118"/>
    <s v="Nous On Veut Des Violons"/>
  </r>
  <r>
    <x v="6"/>
    <x v="48"/>
    <x v="1"/>
    <x v="26"/>
    <s v="25 (25)"/>
    <n v="7"/>
    <x v="119"/>
    <s v="Iemand Als Jij"/>
  </r>
  <r>
    <x v="6"/>
    <x v="50"/>
    <x v="1"/>
    <x v="27"/>
    <s v="20 (23)"/>
    <n v="14"/>
    <x v="120"/>
    <s v="La Voix Est Libre"/>
  </r>
  <r>
    <x v="6"/>
    <x v="51"/>
    <x v="1"/>
    <x v="86"/>
    <s v="16 (23)"/>
    <n v="16"/>
    <x v="121"/>
    <s v="Liefde Is Een Kaartspel"/>
  </r>
  <r>
    <x v="6"/>
    <x v="63"/>
    <x v="1"/>
    <x v="87"/>
    <s v="6 (25)"/>
    <n v="20"/>
    <x v="122"/>
    <s v="Dis Oui"/>
  </r>
  <r>
    <x v="6"/>
    <x v="53"/>
    <x v="1"/>
    <x v="88"/>
    <s v="12 (23)"/>
    <n v="2"/>
    <x v="123"/>
    <s v="Like The Wind"/>
  </r>
  <r>
    <x v="6"/>
    <x v="54"/>
    <x v="1"/>
    <x v="35"/>
    <s v="24 (24)"/>
    <n v="10"/>
    <x v="124"/>
    <s v="Envie De Vivre"/>
  </r>
  <r>
    <x v="6"/>
    <x v="55"/>
    <x v="1"/>
    <x v="66"/>
    <s v="13 (24)"/>
    <n v="16"/>
    <x v="125"/>
    <s v="Sister"/>
  </r>
  <r>
    <x v="6"/>
    <x v="56"/>
    <x v="1"/>
    <x v="89"/>
    <s v="2 (26)"/>
    <n v="22"/>
    <x v="126"/>
    <s v="Sanomi"/>
  </r>
  <r>
    <x v="6"/>
    <x v="0"/>
    <x v="0"/>
    <x v="81"/>
    <s v="22 (24)"/>
    <n v="13"/>
    <x v="127"/>
    <s v="1 Life"/>
  </r>
  <r>
    <x v="6"/>
    <x v="4"/>
    <x v="0"/>
    <x v="90"/>
    <s v="6 (25)"/>
    <n v="7"/>
    <x v="128"/>
    <s v="Me And My Guitar"/>
  </r>
  <r>
    <x v="6"/>
    <x v="12"/>
    <x v="0"/>
    <x v="91"/>
    <s v="12 (26)"/>
    <n v="6"/>
    <x v="129"/>
    <s v="Love Kills"/>
  </r>
  <r>
    <x v="6"/>
    <x v="6"/>
    <x v="0"/>
    <x v="92"/>
    <s v="4 (27)"/>
    <n v="13"/>
    <x v="130"/>
    <s v="Rhythm Inside"/>
  </r>
  <r>
    <x v="6"/>
    <x v="14"/>
    <x v="0"/>
    <x v="93"/>
    <s v="10 (26)"/>
    <n v="1"/>
    <x v="131"/>
    <s v="What's The Pressure"/>
  </r>
  <r>
    <x v="6"/>
    <x v="15"/>
    <x v="0"/>
    <x v="94"/>
    <s v="4 (26)"/>
    <n v="23"/>
    <x v="132"/>
    <s v="City Lights"/>
  </r>
  <r>
    <x v="6"/>
    <x v="9"/>
    <x v="0"/>
    <x v="95"/>
    <s v="19 (26)"/>
    <n v="4"/>
    <x v="133"/>
    <s v="The Wrong Place"/>
  </r>
  <r>
    <x v="6"/>
    <x v="16"/>
    <x v="0"/>
    <x v="41"/>
    <s v="19 (25)"/>
    <n v="16"/>
    <x v="134"/>
    <s v="Miss You"/>
  </r>
  <r>
    <x v="7"/>
    <x v="48"/>
    <x v="1"/>
    <x v="96"/>
    <s v="16 (25)"/>
    <n v="18"/>
    <x v="135"/>
    <s v="Sva Bol Svijeta"/>
  </r>
  <r>
    <x v="7"/>
    <x v="49"/>
    <x v="1"/>
    <x v="97"/>
    <s v="15 (25)"/>
    <n v="18"/>
    <x v="136"/>
    <s v="Ostani Kraj Mene"/>
  </r>
  <r>
    <x v="7"/>
    <x v="50"/>
    <x v="1"/>
    <x v="39"/>
    <s v="19 (23)"/>
    <n v="4"/>
    <x v="137"/>
    <s v="Dvadeset I Prvi Vijek"/>
  </r>
  <r>
    <x v="7"/>
    <x v="51"/>
    <x v="1"/>
    <x v="79"/>
    <s v="22 (23)"/>
    <n v="21"/>
    <x v="138"/>
    <s v="Za Naљu Ljubav"/>
  </r>
  <r>
    <x v="7"/>
    <x v="52"/>
    <x v="1"/>
    <x v="86"/>
    <s v="18 (25)"/>
    <n v="14"/>
    <x v="139"/>
    <s v="Goodbye"/>
  </r>
  <r>
    <x v="7"/>
    <x v="53"/>
    <x v="1"/>
    <x v="98"/>
    <s v="7 (23)"/>
    <n v="22"/>
    <x v="140"/>
    <s v="Putnici"/>
  </r>
  <r>
    <x v="7"/>
    <x v="64"/>
    <x v="1"/>
    <x v="99"/>
    <s v="14 (23)"/>
    <n v="3"/>
    <x v="141"/>
    <s v="Hano"/>
  </r>
  <r>
    <x v="7"/>
    <x v="55"/>
    <x v="1"/>
    <x v="66"/>
    <s v="13 (24)"/>
    <n v="15"/>
    <x v="142"/>
    <s v="Na Jastuku Za Dvoje"/>
  </r>
  <r>
    <x v="7"/>
    <x v="56"/>
    <x v="1"/>
    <x v="96"/>
    <s v="16 (26)"/>
    <n v="6"/>
    <x v="143"/>
    <s v="Ne Brini"/>
  </r>
  <r>
    <x v="7"/>
    <x v="0"/>
    <x v="0"/>
    <x v="100"/>
    <s v="9 (24)"/>
    <n v="12"/>
    <x v="144"/>
    <s v="In The Disco"/>
  </r>
  <r>
    <x v="7"/>
    <x v="1"/>
    <x v="0"/>
    <x v="18"/>
    <s v="14 (24)"/>
    <n v="21"/>
    <x v="145"/>
    <s v="Call Me"/>
  </r>
  <r>
    <x v="7"/>
    <x v="10"/>
    <x v="0"/>
    <x v="101"/>
    <s v="3 (24)"/>
    <n v="13"/>
    <x v="146"/>
    <s v="Lejla"/>
  </r>
  <r>
    <x v="7"/>
    <x v="11"/>
    <x v="0"/>
    <x v="0"/>
    <s v="11 (24)"/>
    <n v="1"/>
    <x v="147"/>
    <s v="Rijeka Bez Imena"/>
  </r>
  <r>
    <x v="7"/>
    <x v="2"/>
    <x v="0"/>
    <x v="102"/>
    <s v="10 (25)"/>
    <n v="6"/>
    <x v="148"/>
    <s v="Pokuљaj"/>
  </r>
  <r>
    <x v="7"/>
    <x v="3"/>
    <x v="0"/>
    <x v="0"/>
    <s v="9 (25)"/>
    <n v="12"/>
    <x v="149"/>
    <s v="Bistra Voda"/>
  </r>
  <r>
    <x v="7"/>
    <x v="4"/>
    <x v="0"/>
    <x v="103"/>
    <s v="17 (25)"/>
    <n v="6"/>
    <x v="150"/>
    <s v="Thunder And Lightning"/>
  </r>
  <r>
    <x v="7"/>
    <x v="57"/>
    <x v="0"/>
    <x v="25"/>
    <s v="6 (25)"/>
    <n v="2"/>
    <x v="151"/>
    <s v="Love In Rewind"/>
  </r>
  <r>
    <x v="7"/>
    <x v="5"/>
    <x v="0"/>
    <x v="2"/>
    <s v="18 (26)"/>
    <n v="5"/>
    <x v="152"/>
    <s v="Korake ti znam"/>
  </r>
  <r>
    <x v="8"/>
    <x v="11"/>
    <x v="0"/>
    <x v="104"/>
    <s v="5 (24)"/>
    <n v="21"/>
    <x v="153"/>
    <s v="Water"/>
  </r>
  <r>
    <x v="8"/>
    <x v="14"/>
    <x v="0"/>
    <x v="105"/>
    <s v="4 (26)"/>
    <n v="8"/>
    <x v="154"/>
    <s v="If Love Was A Crime"/>
  </r>
  <r>
    <x v="8"/>
    <x v="15"/>
    <x v="0"/>
    <x v="106"/>
    <s v="2 (26)"/>
    <n v="25"/>
    <x v="155"/>
    <s v="Beautiful Mess"/>
  </r>
  <r>
    <x v="8"/>
    <x v="7"/>
    <x v="0"/>
    <x v="107"/>
    <s v="14 (26)"/>
    <n v="18"/>
    <x v="156"/>
    <s v="Bones"/>
  </r>
  <r>
    <x v="8"/>
    <x v="9"/>
    <x v="0"/>
    <x v="108"/>
    <s v="11 (26)"/>
    <n v="17"/>
    <x v="157"/>
    <s v="Growing Up Is Getting Old"/>
  </r>
  <r>
    <x v="9"/>
    <x v="48"/>
    <x v="1"/>
    <x v="34"/>
    <s v="15 (25)"/>
    <n v="21"/>
    <x v="158"/>
    <s v="Don't Ever Cry"/>
  </r>
  <r>
    <x v="9"/>
    <x v="49"/>
    <x v="1"/>
    <x v="96"/>
    <s v="16 (25)"/>
    <n v="7"/>
    <x v="159"/>
    <s v="Nek'ti Bude Ljubav Sva"/>
  </r>
  <r>
    <x v="9"/>
    <x v="50"/>
    <x v="1"/>
    <x v="100"/>
    <s v="6 (23)"/>
    <n v="11"/>
    <x v="160"/>
    <s v="Nostalgija"/>
  </r>
  <r>
    <x v="9"/>
    <x v="51"/>
    <x v="1"/>
    <x v="109"/>
    <s v="4 (23)"/>
    <n v="7"/>
    <x v="161"/>
    <s v="Sveta Ljubav"/>
  </r>
  <r>
    <x v="9"/>
    <x v="52"/>
    <x v="1"/>
    <x v="110"/>
    <s v="17 (25)"/>
    <n v="23"/>
    <x v="162"/>
    <s v="Probudi Me"/>
  </r>
  <r>
    <x v="9"/>
    <x v="63"/>
    <x v="1"/>
    <x v="111"/>
    <s v="5 (25)"/>
    <n v="1"/>
    <x v="163"/>
    <s v="Neka Mi Ne Svane"/>
  </r>
  <r>
    <x v="9"/>
    <x v="53"/>
    <x v="1"/>
    <x v="112"/>
    <s v="4 (23)"/>
    <n v="4"/>
    <x v="164"/>
    <s v="Marija Magdalena"/>
  </r>
  <r>
    <x v="9"/>
    <x v="54"/>
    <x v="1"/>
    <x v="80"/>
    <s v="9 (24)"/>
    <n v="17"/>
    <x v="165"/>
    <s v="Kada Zaspu Andeli"/>
  </r>
  <r>
    <x v="9"/>
    <x v="64"/>
    <x v="1"/>
    <x v="113"/>
    <s v="10 (23)"/>
    <n v="10"/>
    <x v="166"/>
    <s v="Strings Of My Heart"/>
  </r>
  <r>
    <x v="9"/>
    <x v="55"/>
    <x v="1"/>
    <x v="114"/>
    <s v="11 (24)"/>
    <n v="6"/>
    <x v="167"/>
    <s v="Everything I Want"/>
  </r>
  <r>
    <x v="9"/>
    <x v="56"/>
    <x v="1"/>
    <x v="99"/>
    <s v="15 (26)"/>
    <n v="8"/>
    <x v="168"/>
    <s v="Vise Nisam Tvoja"/>
  </r>
  <r>
    <x v="9"/>
    <x v="0"/>
    <x v="0"/>
    <x v="115"/>
    <s v="12 (24)"/>
    <n v="11"/>
    <x v="169"/>
    <s v="You Are The Only One"/>
  </r>
  <r>
    <x v="9"/>
    <x v="1"/>
    <x v="0"/>
    <x v="116"/>
    <s v="11 (24)"/>
    <n v="18"/>
    <x v="170"/>
    <s v="Vukovi Umiru Sami"/>
  </r>
  <r>
    <x v="9"/>
    <x v="10"/>
    <x v="0"/>
    <x v="83"/>
    <s v="12 (24)"/>
    <n v="20"/>
    <x v="171"/>
    <s v="Moja Stikla"/>
  </r>
  <r>
    <x v="9"/>
    <x v="2"/>
    <x v="0"/>
    <x v="114"/>
    <s v="21 (25)"/>
    <n v="9"/>
    <x v="172"/>
    <s v="Romanca"/>
  </r>
  <r>
    <x v="9"/>
    <x v="3"/>
    <x v="0"/>
    <x v="117"/>
    <s v="18 (25)"/>
    <n v="5"/>
    <x v="173"/>
    <s v="Lijepa Tena"/>
  </r>
  <r>
    <x v="9"/>
    <x v="14"/>
    <x v="0"/>
    <x v="118"/>
    <s v="23 (26)"/>
    <n v="17"/>
    <x v="174"/>
    <s v="Lighthouse"/>
  </r>
  <r>
    <x v="9"/>
    <x v="15"/>
    <x v="0"/>
    <x v="119"/>
    <s v="13 (26)"/>
    <n v="13"/>
    <x v="175"/>
    <s v="My Friend"/>
  </r>
  <r>
    <x v="10"/>
    <x v="36"/>
    <x v="1"/>
    <x v="76"/>
    <s v="6 (20)"/>
    <n v="18"/>
    <x v="176"/>
    <s v="Monika"/>
  </r>
  <r>
    <x v="10"/>
    <x v="37"/>
    <x v="1"/>
    <x v="120"/>
    <s v="5 (18)"/>
    <n v="8"/>
    <x v="177"/>
    <s v="Mono I Agapi"/>
  </r>
  <r>
    <x v="10"/>
    <x v="38"/>
    <x v="1"/>
    <x v="53"/>
    <s v="16 (20)"/>
    <n v="13"/>
    <x v="178"/>
    <s v="I Agapi Akoma Zi"/>
  </r>
  <r>
    <x v="10"/>
    <x v="39"/>
    <x v="1"/>
    <x v="34"/>
    <s v="15 (19)"/>
    <n v="7"/>
    <x v="179"/>
    <s v="Anna Mari-elena"/>
  </r>
  <r>
    <x v="10"/>
    <x v="40"/>
    <x v="1"/>
    <x v="121"/>
    <s v="16 (19)"/>
    <n v="3"/>
    <x v="180"/>
    <s v="To Katalava Arga"/>
  </r>
  <r>
    <x v="10"/>
    <x v="41"/>
    <x v="1"/>
    <x v="28"/>
    <s v="20 (20)"/>
    <n v="15"/>
    <x v="181"/>
    <s v="Tora Zo"/>
  </r>
  <r>
    <x v="10"/>
    <x v="42"/>
    <x v="1"/>
    <x v="38"/>
    <s v="7 (22)"/>
    <n v="17"/>
    <x v="182"/>
    <s v="Aspro Mavro"/>
  </r>
  <r>
    <x v="10"/>
    <x v="44"/>
    <x v="1"/>
    <x v="103"/>
    <s v="11 (22)"/>
    <n v="17"/>
    <x v="183"/>
    <s v="Apopse As Vrethoume"/>
  </r>
  <r>
    <x v="10"/>
    <x v="45"/>
    <x v="1"/>
    <x v="122"/>
    <s v="14 (22)"/>
    <n v="21"/>
    <x v="184"/>
    <s v="Milas Poli"/>
  </r>
  <r>
    <x v="10"/>
    <x v="46"/>
    <x v="1"/>
    <x v="43"/>
    <s v="9 (22)"/>
    <n v="21"/>
    <x v="185"/>
    <s v="S.o.s."/>
  </r>
  <r>
    <x v="10"/>
    <x v="47"/>
    <x v="1"/>
    <x v="9"/>
    <s v="11 (23)"/>
    <n v="9"/>
    <x v="186"/>
    <s v="Teriazoume"/>
  </r>
  <r>
    <x v="10"/>
    <x v="48"/>
    <x v="1"/>
    <x v="75"/>
    <s v="19 (25)"/>
    <n v="23"/>
    <x v="187"/>
    <s v="Mi Stamatas"/>
  </r>
  <r>
    <x v="10"/>
    <x v="49"/>
    <x v="1"/>
    <x v="103"/>
    <s v="11 (25)"/>
    <n v="4"/>
    <x v="186"/>
    <s v="Ime Anthropos Ke Ego"/>
  </r>
  <r>
    <x v="10"/>
    <x v="50"/>
    <x v="1"/>
    <x v="18"/>
    <s v="9 (23)"/>
    <n v="17"/>
    <x v="188"/>
    <s v="Sti Fotia"/>
  </r>
  <r>
    <x v="10"/>
    <x v="51"/>
    <x v="1"/>
    <x v="123"/>
    <s v="9 (23)"/>
    <n v="5"/>
    <x v="189"/>
    <s v="Mono Gia Mas"/>
  </r>
  <r>
    <x v="10"/>
    <x v="52"/>
    <x v="1"/>
    <x v="109"/>
    <s v="5 (25)"/>
    <n v="1"/>
    <x v="190"/>
    <s v="Mana Mou"/>
  </r>
  <r>
    <x v="10"/>
    <x v="63"/>
    <x v="1"/>
    <x v="124"/>
    <s v="11 (25)"/>
    <n v="17"/>
    <x v="191"/>
    <s v="Genesis"/>
  </r>
  <r>
    <x v="10"/>
    <x v="53"/>
    <x v="1"/>
    <x v="35"/>
    <s v="22 (23)"/>
    <n v="14"/>
    <x v="192"/>
    <s v="Tha'nai Erotas"/>
  </r>
  <r>
    <x v="10"/>
    <x v="54"/>
    <x v="1"/>
    <x v="27"/>
    <s v="21 (24)"/>
    <n v="11"/>
    <x v="193"/>
    <s v="Nomiza"/>
  </r>
  <r>
    <x v="10"/>
    <x v="55"/>
    <x v="1"/>
    <x v="120"/>
    <s v="6 (24)"/>
    <n v="1"/>
    <x v="194"/>
    <s v="Gimme"/>
  </r>
  <r>
    <x v="10"/>
    <x v="56"/>
    <x v="1"/>
    <x v="121"/>
    <s v="20 (26)"/>
    <n v="9"/>
    <x v="195"/>
    <s v="Feeling Alive"/>
  </r>
  <r>
    <x v="10"/>
    <x v="0"/>
    <x v="0"/>
    <x v="108"/>
    <s v="5 (24)"/>
    <n v="21"/>
    <x v="196"/>
    <s v="Stronger Every Minute"/>
  </r>
  <r>
    <x v="10"/>
    <x v="1"/>
    <x v="0"/>
    <x v="84"/>
    <s v="18 (24)"/>
    <n v="9"/>
    <x v="197"/>
    <s v="Ela Ela"/>
  </r>
  <r>
    <x v="10"/>
    <x v="4"/>
    <x v="0"/>
    <x v="96"/>
    <s v="21 (25)"/>
    <n v="5"/>
    <x v="198"/>
    <s v="Life Looks Better In Spring"/>
  </r>
  <r>
    <x v="10"/>
    <x v="5"/>
    <x v="0"/>
    <x v="52"/>
    <s v="16 (26)"/>
    <n v="8"/>
    <x v="199"/>
    <s v="La La Love"/>
  </r>
  <r>
    <x v="10"/>
    <x v="6"/>
    <x v="0"/>
    <x v="33"/>
    <s v="22 (27)"/>
    <n v="11"/>
    <x v="200"/>
    <s v="One Thing I Should Have Done"/>
  </r>
  <r>
    <x v="10"/>
    <x v="14"/>
    <x v="0"/>
    <x v="78"/>
    <s v="21 (26)"/>
    <n v="14"/>
    <x v="201"/>
    <s v="Alter Ego"/>
  </r>
  <r>
    <x v="10"/>
    <x v="15"/>
    <x v="0"/>
    <x v="51"/>
    <s v="21 (26)"/>
    <n v="19"/>
    <x v="202"/>
    <s v="Gravity"/>
  </r>
  <r>
    <x v="10"/>
    <x v="7"/>
    <x v="0"/>
    <x v="125"/>
    <s v="2 (26)"/>
    <n v="25"/>
    <x v="203"/>
    <s v="Fuego"/>
  </r>
  <r>
    <x v="10"/>
    <x v="8"/>
    <x v="0"/>
    <x v="126"/>
    <s v="13 (26)"/>
    <n v="11"/>
    <x v="204"/>
    <s v="Replay"/>
  </r>
  <r>
    <x v="10"/>
    <x v="9"/>
    <x v="0"/>
    <x v="127"/>
    <s v="16 (26)"/>
    <n v="1"/>
    <x v="205"/>
    <s v="El Diablo"/>
  </r>
  <r>
    <x v="11"/>
    <x v="14"/>
    <x v="0"/>
    <x v="15"/>
    <s v="25 (26)"/>
    <n v="2"/>
    <x v="206"/>
    <s v="I Stand"/>
  </r>
  <r>
    <x v="11"/>
    <x v="7"/>
    <x v="0"/>
    <x v="128"/>
    <s v="6 (26)"/>
    <n v="14"/>
    <x v="207"/>
    <s v="Lie To Me"/>
  </r>
  <r>
    <x v="11"/>
    <x v="8"/>
    <x v="0"/>
    <x v="104"/>
    <s v="11 (26)"/>
    <n v="3"/>
    <x v="208"/>
    <s v="Friend of a Friend"/>
  </r>
  <r>
    <x v="11"/>
    <x v="16"/>
    <x v="0"/>
    <x v="88"/>
    <s v="22 (25)"/>
    <n v="1"/>
    <x v="209"/>
    <s v="Lights Off"/>
  </r>
  <r>
    <x v="12"/>
    <x v="17"/>
    <x v="1"/>
    <x v="74"/>
    <s v="3 (10)"/>
    <n v="9"/>
    <x v="210"/>
    <s v="Skibet Skal Sejle I Nat"/>
  </r>
  <r>
    <x v="12"/>
    <x v="18"/>
    <x v="1"/>
    <x v="26"/>
    <s v="8 (10)"/>
    <n v="6"/>
    <x v="211"/>
    <s v="Jeg Rev Et Blad Ud Af Min Dagbog"/>
  </r>
  <r>
    <x v="12"/>
    <x v="19"/>
    <x v="1"/>
    <x v="44"/>
    <s v="5 (11)"/>
    <n v="2"/>
    <x v="212"/>
    <s v="Uh-jeg Ville Шnske Jeg Var Dig"/>
  </r>
  <r>
    <x v="12"/>
    <x v="20"/>
    <x v="1"/>
    <x v="28"/>
    <s v="10 (13)"/>
    <n v="4"/>
    <x v="213"/>
    <s v="Det Var En Yndig Tid"/>
  </r>
  <r>
    <x v="12"/>
    <x v="21"/>
    <x v="1"/>
    <x v="44"/>
    <s v="5 (16)"/>
    <n v="13"/>
    <x v="214"/>
    <s v="Angelique"/>
  </r>
  <r>
    <x v="12"/>
    <x v="22"/>
    <x v="1"/>
    <x v="35"/>
    <s v="10 (16)"/>
    <n v="5"/>
    <x v="215"/>
    <s v="Vuggevise"/>
  </r>
  <r>
    <x v="12"/>
    <x v="23"/>
    <x v="1"/>
    <x v="113"/>
    <s v="1 (16)"/>
    <n v="8"/>
    <x v="216"/>
    <s v="Dansevise"/>
  </r>
  <r>
    <x v="12"/>
    <x v="24"/>
    <x v="1"/>
    <x v="28"/>
    <s v="9 (16)"/>
    <n v="4"/>
    <x v="217"/>
    <s v="Sangen Om Dig"/>
  </r>
  <r>
    <x v="12"/>
    <x v="25"/>
    <x v="1"/>
    <x v="74"/>
    <s v="7 (18)"/>
    <n v="14"/>
    <x v="218"/>
    <s v="For Din Skyld"/>
  </r>
  <r>
    <x v="12"/>
    <x v="26"/>
    <x v="1"/>
    <x v="28"/>
    <s v="14 (18)"/>
    <n v="2"/>
    <x v="219"/>
    <s v="Stop, Ja Stop - Ja Stop, Mens Legen Er Go"/>
  </r>
  <r>
    <x v="12"/>
    <x v="33"/>
    <x v="1"/>
    <x v="79"/>
    <s v="16 (20)"/>
    <n v="16"/>
    <x v="220"/>
    <s v="Boom Boom"/>
  </r>
  <r>
    <x v="12"/>
    <x v="34"/>
    <x v="1"/>
    <x v="129"/>
    <s v="6 (19)"/>
    <n v="3"/>
    <x v="221"/>
    <s v="Disco Tango"/>
  </r>
  <r>
    <x v="12"/>
    <x v="35"/>
    <x v="1"/>
    <x v="130"/>
    <s v="14 (19)"/>
    <n v="7"/>
    <x v="222"/>
    <s v="Tжnker Altid Pе Dig"/>
  </r>
  <r>
    <x v="12"/>
    <x v="36"/>
    <x v="1"/>
    <x v="15"/>
    <s v="11 (20)"/>
    <n v="6"/>
    <x v="223"/>
    <s v="Krшller Eller Ej"/>
  </r>
  <r>
    <x v="12"/>
    <x v="37"/>
    <x v="1"/>
    <x v="40"/>
    <s v="17 (18)"/>
    <n v="13"/>
    <x v="224"/>
    <s v="Video-video"/>
  </r>
  <r>
    <x v="12"/>
    <x v="38"/>
    <x v="1"/>
    <x v="32"/>
    <s v="17 (20)"/>
    <n v="15"/>
    <x v="225"/>
    <s v="Kloden Drejer"/>
  </r>
  <r>
    <x v="12"/>
    <x v="39"/>
    <x v="1"/>
    <x v="54"/>
    <s v="4 (19)"/>
    <n v="10"/>
    <x v="226"/>
    <s v="Det' Lige Det"/>
  </r>
  <r>
    <x v="12"/>
    <x v="40"/>
    <x v="1"/>
    <x v="15"/>
    <s v="11 (19)"/>
    <n v="4"/>
    <x v="226"/>
    <s v="Sku' Du Spшr Fra No'n"/>
  </r>
  <r>
    <x v="12"/>
    <x v="41"/>
    <x v="1"/>
    <x v="131"/>
    <s v="6 (20)"/>
    <n v="18"/>
    <x v="227"/>
    <s v="Du Er Fuld Af Lшgn"/>
  </r>
  <r>
    <x v="12"/>
    <x v="42"/>
    <x v="1"/>
    <x v="73"/>
    <s v="5 (22)"/>
    <n v="19"/>
    <x v="228"/>
    <s v="En Lille Melodi"/>
  </r>
  <r>
    <x v="12"/>
    <x v="43"/>
    <x v="1"/>
    <x v="13"/>
    <s v="3 (21)"/>
    <n v="13"/>
    <x v="226"/>
    <s v="Ka' Du Se Hva' Jeg Sa'"/>
  </r>
  <r>
    <x v="12"/>
    <x v="44"/>
    <x v="1"/>
    <x v="132"/>
    <s v="3 (22)"/>
    <n v="12"/>
    <x v="229"/>
    <s v="Vi Maler Byen Rшd"/>
  </r>
  <r>
    <x v="12"/>
    <x v="45"/>
    <x v="1"/>
    <x v="41"/>
    <s v="8 (22)"/>
    <n v="11"/>
    <x v="230"/>
    <s v="Hallo Hallo"/>
  </r>
  <r>
    <x v="12"/>
    <x v="46"/>
    <x v="1"/>
    <x v="27"/>
    <s v="19 (22)"/>
    <n v="13"/>
    <x v="231"/>
    <s v="Lige Der Hvor Hjertet Slеr"/>
  </r>
  <r>
    <x v="12"/>
    <x v="47"/>
    <x v="1"/>
    <x v="133"/>
    <s v="12 (23)"/>
    <n v="18"/>
    <x v="232"/>
    <s v="Еlt Det Som Ingen Ser"/>
  </r>
  <r>
    <x v="12"/>
    <x v="48"/>
    <x v="1"/>
    <x v="55"/>
    <s v="22 (25)"/>
    <n v="5"/>
    <x v="233"/>
    <s v="Under Stjernerne Pе Himlen"/>
  </r>
  <r>
    <x v="12"/>
    <x v="50"/>
    <x v="1"/>
    <x v="13"/>
    <s v="5 (23)"/>
    <n v="19"/>
    <x v="234"/>
    <s v="Fra Mols Til Skagen"/>
  </r>
  <r>
    <x v="12"/>
    <x v="52"/>
    <x v="1"/>
    <x v="130"/>
    <s v="16 (25)"/>
    <n v="21"/>
    <x v="235"/>
    <s v="Stemmen I Mit Liv"/>
  </r>
  <r>
    <x v="12"/>
    <x v="53"/>
    <x v="1"/>
    <x v="91"/>
    <s v="8 (23)"/>
    <n v="9"/>
    <x v="236"/>
    <s v="This Time (i Mean It)"/>
  </r>
  <r>
    <x v="12"/>
    <x v="54"/>
    <x v="1"/>
    <x v="134"/>
    <s v="1 (24)"/>
    <n v="14"/>
    <x v="237"/>
    <s v="Fly On The Wings Of Love"/>
  </r>
  <r>
    <x v="12"/>
    <x v="64"/>
    <x v="1"/>
    <x v="135"/>
    <s v="2 (23)"/>
    <n v="23"/>
    <x v="238"/>
    <s v="Never Ever Let You Go"/>
  </r>
  <r>
    <x v="12"/>
    <x v="55"/>
    <x v="1"/>
    <x v="81"/>
    <s v="24 (24)"/>
    <n v="14"/>
    <x v="239"/>
    <s v="Tell Me Who You Are"/>
  </r>
  <r>
    <x v="12"/>
    <x v="1"/>
    <x v="0"/>
    <x v="25"/>
    <s v="9 (24)"/>
    <n v="13"/>
    <x v="240"/>
    <s v="Talking To You"/>
  </r>
  <r>
    <x v="12"/>
    <x v="10"/>
    <x v="0"/>
    <x v="53"/>
    <s v="18 (24)"/>
    <n v="9"/>
    <x v="241"/>
    <s v="Twist Of Love"/>
  </r>
  <r>
    <x v="12"/>
    <x v="2"/>
    <x v="0"/>
    <x v="43"/>
    <s v="15 (25)"/>
    <n v="16"/>
    <x v="242"/>
    <s v="All Night Long"/>
  </r>
  <r>
    <x v="12"/>
    <x v="3"/>
    <x v="0"/>
    <x v="95"/>
    <s v="13 (25)"/>
    <n v="16"/>
    <x v="243"/>
    <s v="Believe Again"/>
  </r>
  <r>
    <x v="12"/>
    <x v="4"/>
    <x v="0"/>
    <x v="136"/>
    <s v="4 (25)"/>
    <n v="25"/>
    <x v="244"/>
    <s v="In A Moment Like This"/>
  </r>
  <r>
    <x v="12"/>
    <x v="57"/>
    <x v="0"/>
    <x v="137"/>
    <s v="5 (25)"/>
    <n v="3"/>
    <x v="245"/>
    <s v="New Tomorrow"/>
  </r>
  <r>
    <x v="12"/>
    <x v="5"/>
    <x v="0"/>
    <x v="138"/>
    <s v="23 (26)"/>
    <n v="15"/>
    <x v="246"/>
    <s v="Should've Known Better"/>
  </r>
  <r>
    <x v="12"/>
    <x v="12"/>
    <x v="0"/>
    <x v="128"/>
    <s v="1 (26)"/>
    <n v="18"/>
    <x v="247"/>
    <s v="Only Teardrops"/>
  </r>
  <r>
    <x v="12"/>
    <x v="13"/>
    <x v="0"/>
    <x v="95"/>
    <s v="9 (26)"/>
    <n v="23"/>
    <x v="248"/>
    <s v="Cliche Love Song"/>
  </r>
  <r>
    <x v="12"/>
    <x v="15"/>
    <x v="0"/>
    <x v="131"/>
    <s v="20 (26)"/>
    <n v="10"/>
    <x v="249"/>
    <s v="Where I Am"/>
  </r>
  <r>
    <x v="12"/>
    <x v="7"/>
    <x v="0"/>
    <x v="139"/>
    <s v="9 (26)"/>
    <n v="15"/>
    <x v="250"/>
    <s v="Higher Ground"/>
  </r>
  <r>
    <x v="12"/>
    <x v="8"/>
    <x v="0"/>
    <x v="69"/>
    <s v="12 (26)"/>
    <n v="6"/>
    <x v="251"/>
    <s v="Love Is Forever"/>
  </r>
  <r>
    <x v="13"/>
    <x v="49"/>
    <x v="1"/>
    <x v="35"/>
    <s v="24 (25)"/>
    <n v="10"/>
    <x v="252"/>
    <s v="Nagu Merelaine"/>
  </r>
  <r>
    <x v="13"/>
    <x v="51"/>
    <x v="1"/>
    <x v="127"/>
    <s v="5 (23)"/>
    <n v="11"/>
    <x v="253"/>
    <s v="Kaelakee Hддl"/>
  </r>
  <r>
    <x v="13"/>
    <x v="52"/>
    <x v="1"/>
    <x v="140"/>
    <s v="8 (25)"/>
    <n v="13"/>
    <x v="254"/>
    <s v="Keelatud Maa"/>
  </r>
  <r>
    <x v="13"/>
    <x v="63"/>
    <x v="1"/>
    <x v="122"/>
    <s v="12 (25)"/>
    <n v="23"/>
    <x v="255"/>
    <s v="Mere Lapsed"/>
  </r>
  <r>
    <x v="13"/>
    <x v="53"/>
    <x v="1"/>
    <x v="8"/>
    <s v="6 (23)"/>
    <n v="23"/>
    <x v="256"/>
    <s v="Diamond Of Night"/>
  </r>
  <r>
    <x v="13"/>
    <x v="54"/>
    <x v="1"/>
    <x v="109"/>
    <s v="4 (24)"/>
    <n v="4"/>
    <x v="257"/>
    <s v="Once In A Lifetime"/>
  </r>
  <r>
    <x v="13"/>
    <x v="64"/>
    <x v="1"/>
    <x v="141"/>
    <s v="1 (23)"/>
    <n v="20"/>
    <x v="258"/>
    <s v="Everybody"/>
  </r>
  <r>
    <x v="13"/>
    <x v="55"/>
    <x v="1"/>
    <x v="132"/>
    <s v="3 (24)"/>
    <n v="8"/>
    <x v="259"/>
    <s v="Runaway"/>
  </r>
  <r>
    <x v="13"/>
    <x v="56"/>
    <x v="1"/>
    <x v="39"/>
    <s v="21 (26)"/>
    <n v="23"/>
    <x v="260"/>
    <s v="Eighties Coming Back"/>
  </r>
  <r>
    <x v="13"/>
    <x v="3"/>
    <x v="0"/>
    <x v="10"/>
    <s v="6 (25)"/>
    <n v="15"/>
    <x v="261"/>
    <s v="Rдndajad"/>
  </r>
  <r>
    <x v="13"/>
    <x v="57"/>
    <x v="0"/>
    <x v="114"/>
    <s v="24 (25)"/>
    <n v="8"/>
    <x v="262"/>
    <s v="Rockefeller Street"/>
  </r>
  <r>
    <x v="13"/>
    <x v="5"/>
    <x v="0"/>
    <x v="69"/>
    <s v="6 (26)"/>
    <n v="11"/>
    <x v="263"/>
    <s v="Kuula"/>
  </r>
  <r>
    <x v="13"/>
    <x v="12"/>
    <x v="0"/>
    <x v="49"/>
    <s v="20 (26)"/>
    <n v="7"/>
    <x v="264"/>
    <s v="Et Uus Saaks Alguse"/>
  </r>
  <r>
    <x v="13"/>
    <x v="6"/>
    <x v="0"/>
    <x v="0"/>
    <s v="7 (27)"/>
    <n v="4"/>
    <x v="265"/>
    <s v="Goodbye To Yesterday"/>
  </r>
  <r>
    <x v="13"/>
    <x v="7"/>
    <x v="0"/>
    <x v="142"/>
    <s v="8 (26)"/>
    <n v="6"/>
    <x v="266"/>
    <s v="La Forza"/>
  </r>
  <r>
    <x v="13"/>
    <x v="8"/>
    <x v="0"/>
    <x v="129"/>
    <s v="20 (26)"/>
    <n v="18"/>
    <x v="267"/>
    <s v="Storm"/>
  </r>
  <r>
    <x v="13"/>
    <x v="16"/>
    <x v="0"/>
    <x v="14"/>
    <s v="13 (25)"/>
    <n v="25"/>
    <x v="268"/>
    <s v="Hope"/>
  </r>
  <r>
    <x v="14"/>
    <x v="21"/>
    <x v="1"/>
    <x v="29"/>
    <s v="10 (16)"/>
    <n v="4"/>
    <x v="269"/>
    <s v="Valoa Ikkunassa"/>
  </r>
  <r>
    <x v="14"/>
    <x v="22"/>
    <x v="1"/>
    <x v="28"/>
    <s v="7 (16)"/>
    <n v="1"/>
    <x v="270"/>
    <s v="Tipi-tii"/>
  </r>
  <r>
    <x v="14"/>
    <x v="23"/>
    <x v="1"/>
    <x v="31"/>
    <s v="13 (16)"/>
    <n v="7"/>
    <x v="271"/>
    <s v="Muistojeni Laulu"/>
  </r>
  <r>
    <x v="14"/>
    <x v="24"/>
    <x v="1"/>
    <x v="55"/>
    <s v="7 (16)"/>
    <n v="5"/>
    <x v="272"/>
    <s v="Laiskotellen"/>
  </r>
  <r>
    <x v="14"/>
    <x v="25"/>
    <x v="1"/>
    <x v="31"/>
    <s v="15 (18)"/>
    <n v="16"/>
    <x v="273"/>
    <s v="Aurinko Laskee Lдnteen"/>
  </r>
  <r>
    <x v="14"/>
    <x v="26"/>
    <x v="1"/>
    <x v="81"/>
    <s v="10 (18)"/>
    <n v="7"/>
    <x v="274"/>
    <s v="Play-boy"/>
  </r>
  <r>
    <x v="14"/>
    <x v="27"/>
    <x v="1"/>
    <x v="26"/>
    <s v="12 (17)"/>
    <n v="8"/>
    <x v="275"/>
    <s v="Varjoon-suojaan"/>
  </r>
  <r>
    <x v="14"/>
    <x v="28"/>
    <x v="1"/>
    <x v="30"/>
    <s v="16 (17)"/>
    <n v="9"/>
    <x v="276"/>
    <s v="Kun Kello Kдy"/>
  </r>
  <r>
    <x v="14"/>
    <x v="58"/>
    <x v="1"/>
    <x v="29"/>
    <s v="12 (16)"/>
    <n v="16"/>
    <x v="277"/>
    <s v="Kuin Silloin Ennen"/>
  </r>
  <r>
    <x v="14"/>
    <x v="29"/>
    <x v="1"/>
    <x v="143"/>
    <s v="8 (18)"/>
    <n v="17"/>
    <x v="278"/>
    <s v="Tie Uuteen Pдivддn"/>
  </r>
  <r>
    <x v="14"/>
    <x v="30"/>
    <x v="1"/>
    <x v="144"/>
    <s v="12 (18)"/>
    <n v="10"/>
    <x v="279"/>
    <s v="Muistathan"/>
  </r>
  <r>
    <x v="14"/>
    <x v="60"/>
    <x v="1"/>
    <x v="58"/>
    <s v="6 (17)"/>
    <n v="1"/>
    <x v="270"/>
    <s v="Tom Tom Tom"/>
  </r>
  <r>
    <x v="14"/>
    <x v="61"/>
    <x v="1"/>
    <x v="28"/>
    <s v="13 (17)"/>
    <n v="1"/>
    <x v="280"/>
    <s v="Дla Mene Pois (keep Me Warm)"/>
  </r>
  <r>
    <x v="14"/>
    <x v="62"/>
    <x v="1"/>
    <x v="95"/>
    <s v="7 (19)"/>
    <n v="15"/>
    <x v="281"/>
    <s v="Old Man Fiddle"/>
  </r>
  <r>
    <x v="14"/>
    <x v="31"/>
    <x v="1"/>
    <x v="114"/>
    <s v="11 (18)"/>
    <n v="11"/>
    <x v="282"/>
    <s v="Pump-pump"/>
  </r>
  <r>
    <x v="14"/>
    <x v="32"/>
    <x v="1"/>
    <x v="115"/>
    <s v="10 (18)"/>
    <n v="16"/>
    <x v="283"/>
    <s v="Lapponia"/>
  </r>
  <r>
    <x v="14"/>
    <x v="33"/>
    <x v="1"/>
    <x v="35"/>
    <s v="18 (20)"/>
    <n v="4"/>
    <x v="284"/>
    <s v="Anna Rakkaudelle Tilaisuus"/>
  </r>
  <r>
    <x v="14"/>
    <x v="34"/>
    <x v="1"/>
    <x v="88"/>
    <s v="14 (19)"/>
    <n v="5"/>
    <x v="285"/>
    <s v="Katso Sineen Taivaan"/>
  </r>
  <r>
    <x v="14"/>
    <x v="35"/>
    <x v="1"/>
    <x v="29"/>
    <s v="19 (19)"/>
    <n v="10"/>
    <x v="286"/>
    <s v="Huilumies"/>
  </r>
  <r>
    <x v="14"/>
    <x v="36"/>
    <x v="1"/>
    <x v="96"/>
    <s v="16 (20)"/>
    <n v="8"/>
    <x v="287"/>
    <s v="Reggae O.k."/>
  </r>
  <r>
    <x v="14"/>
    <x v="37"/>
    <x v="1"/>
    <x v="31"/>
    <s v="18 (18)"/>
    <n v="6"/>
    <x v="288"/>
    <s v="Nuku Pommiin"/>
  </r>
  <r>
    <x v="14"/>
    <x v="38"/>
    <x v="1"/>
    <x v="15"/>
    <s v="11 (20)"/>
    <n v="9"/>
    <x v="289"/>
    <s v="Fantasiaa"/>
  </r>
  <r>
    <x v="14"/>
    <x v="39"/>
    <x v="1"/>
    <x v="84"/>
    <s v="9 (19)"/>
    <n v="16"/>
    <x v="290"/>
    <s v="Hengaillaan"/>
  </r>
  <r>
    <x v="14"/>
    <x v="40"/>
    <x v="1"/>
    <x v="46"/>
    <s v="9 (19)"/>
    <n v="2"/>
    <x v="291"/>
    <s v="Elдkццn Elдmд"/>
  </r>
  <r>
    <x v="14"/>
    <x v="41"/>
    <x v="1"/>
    <x v="86"/>
    <s v="15 (20)"/>
    <n v="19"/>
    <x v="292"/>
    <s v="Pдivд Kahden Ihmisen"/>
  </r>
  <r>
    <x v="14"/>
    <x v="42"/>
    <x v="1"/>
    <x v="48"/>
    <s v="15 (22)"/>
    <n v="18"/>
    <x v="293"/>
    <s v="Sata Salamaa"/>
  </r>
  <r>
    <x v="14"/>
    <x v="43"/>
    <x v="1"/>
    <x v="26"/>
    <s v="20 (21)"/>
    <n v="3"/>
    <x v="294"/>
    <s v="Nauravat Silmдt Muistetaan"/>
  </r>
  <r>
    <x v="14"/>
    <x v="44"/>
    <x v="1"/>
    <x v="129"/>
    <s v="7 (22)"/>
    <n v="14"/>
    <x v="295"/>
    <s v="La Dolce Vita"/>
  </r>
  <r>
    <x v="14"/>
    <x v="45"/>
    <x v="1"/>
    <x v="27"/>
    <s v="21 (22)"/>
    <n v="22"/>
    <x v="296"/>
    <s v="Fri?"/>
  </r>
  <r>
    <x v="14"/>
    <x v="46"/>
    <x v="1"/>
    <x v="29"/>
    <s v="20 (22)"/>
    <n v="16"/>
    <x v="297"/>
    <s v="Hullu Yц"/>
  </r>
  <r>
    <x v="14"/>
    <x v="47"/>
    <x v="1"/>
    <x v="28"/>
    <s v="23 (23)"/>
    <n v="12"/>
    <x v="298"/>
    <s v="Yamma Yamma"/>
  </r>
  <r>
    <x v="14"/>
    <x v="48"/>
    <x v="1"/>
    <x v="42"/>
    <s v="17 (25)"/>
    <n v="17"/>
    <x v="285"/>
    <s v="Tule Luo"/>
  </r>
  <r>
    <x v="14"/>
    <x v="49"/>
    <x v="1"/>
    <x v="33"/>
    <s v="22 (25)"/>
    <n v="2"/>
    <x v="299"/>
    <s v="Bye Bye Baby"/>
  </r>
  <r>
    <x v="14"/>
    <x v="51"/>
    <x v="1"/>
    <x v="55"/>
    <s v="23 (23)"/>
    <n v="18"/>
    <x v="300"/>
    <s v="Niin Kaunis On Taivas"/>
  </r>
  <r>
    <x v="14"/>
    <x v="63"/>
    <x v="1"/>
    <x v="86"/>
    <s v="15 (25)"/>
    <n v="21"/>
    <x v="301"/>
    <s v="Aava"/>
  </r>
  <r>
    <x v="14"/>
    <x v="54"/>
    <x v="1"/>
    <x v="71"/>
    <s v="18 (24)"/>
    <n v="20"/>
    <x v="302"/>
    <s v="A Little Bit"/>
  </r>
  <r>
    <x v="14"/>
    <x v="55"/>
    <x v="1"/>
    <x v="110"/>
    <s v="20 (24)"/>
    <n v="13"/>
    <x v="303"/>
    <s v="Addicted To You"/>
  </r>
  <r>
    <x v="14"/>
    <x v="10"/>
    <x v="0"/>
    <x v="145"/>
    <s v="1 (24)"/>
    <n v="17"/>
    <x v="304"/>
    <s v="Hard Rock Hallelujah"/>
  </r>
  <r>
    <x v="14"/>
    <x v="11"/>
    <x v="0"/>
    <x v="1"/>
    <s v="17 (24)"/>
    <n v="5"/>
    <x v="305"/>
    <s v="Leave Me Alone"/>
  </r>
  <r>
    <x v="14"/>
    <x v="2"/>
    <x v="0"/>
    <x v="146"/>
    <s v="22 (25)"/>
    <n v="8"/>
    <x v="306"/>
    <s v="Missд Miehet Ratsastaa"/>
  </r>
  <r>
    <x v="14"/>
    <x v="3"/>
    <x v="0"/>
    <x v="86"/>
    <s v="25 (25)"/>
    <n v="24"/>
    <x v="307"/>
    <s v="Lose Control"/>
  </r>
  <r>
    <x v="14"/>
    <x v="57"/>
    <x v="0"/>
    <x v="9"/>
    <s v="21 (25)"/>
    <n v="1"/>
    <x v="308"/>
    <s v="Da Da Dam"/>
  </r>
  <r>
    <x v="14"/>
    <x v="12"/>
    <x v="0"/>
    <x v="79"/>
    <s v="24 (26)"/>
    <n v="4"/>
    <x v="309"/>
    <s v="Marry Me"/>
  </r>
  <r>
    <x v="14"/>
    <x v="13"/>
    <x v="0"/>
    <x v="123"/>
    <s v="11 (26)"/>
    <n v="18"/>
    <x v="310"/>
    <s v="Something Better"/>
  </r>
  <r>
    <x v="14"/>
    <x v="7"/>
    <x v="0"/>
    <x v="84"/>
    <s v="25 (26)"/>
    <n v="17"/>
    <x v="311"/>
    <s v="Monsters"/>
  </r>
  <r>
    <x v="14"/>
    <x v="9"/>
    <x v="0"/>
    <x v="147"/>
    <s v="6 (26)"/>
    <n v="16"/>
    <x v="312"/>
    <s v="Dark Side"/>
  </r>
  <r>
    <x v="14"/>
    <x v="16"/>
    <x v="0"/>
    <x v="88"/>
    <s v="21 (25)"/>
    <n v="4"/>
    <x v="313"/>
    <s v="Jezebel"/>
  </r>
  <r>
    <x v="15"/>
    <x v="17"/>
    <x v="1"/>
    <x v="75"/>
    <s v="2 (10)"/>
    <n v="8"/>
    <x v="314"/>
    <s v="La Belle Amour"/>
  </r>
  <r>
    <x v="15"/>
    <x v="18"/>
    <x v="1"/>
    <x v="96"/>
    <s v="1 (10)"/>
    <n v="3"/>
    <x v="315"/>
    <s v="Dors Mon Amour"/>
  </r>
  <r>
    <x v="15"/>
    <x v="19"/>
    <x v="1"/>
    <x v="121"/>
    <s v="3 (11)"/>
    <n v="1"/>
    <x v="316"/>
    <s v="Oui, Oui, Oui, Oui"/>
  </r>
  <r>
    <x v="15"/>
    <x v="20"/>
    <x v="1"/>
    <x v="48"/>
    <s v="1 (13)"/>
    <n v="13"/>
    <x v="317"/>
    <s v="Tom Pillibi"/>
  </r>
  <r>
    <x v="15"/>
    <x v="21"/>
    <x v="1"/>
    <x v="79"/>
    <s v="4 (16)"/>
    <n v="9"/>
    <x v="318"/>
    <s v="Printemps (avril Carillonne)"/>
  </r>
  <r>
    <x v="15"/>
    <x v="22"/>
    <x v="1"/>
    <x v="53"/>
    <s v="1 (16)"/>
    <n v="9"/>
    <x v="319"/>
    <s v="Un Premier Amour"/>
  </r>
  <r>
    <x v="15"/>
    <x v="23"/>
    <x v="1"/>
    <x v="130"/>
    <s v="5 (16)"/>
    <n v="11"/>
    <x v="320"/>
    <s v="Elle йtait Si Jolie"/>
  </r>
  <r>
    <x v="15"/>
    <x v="24"/>
    <x v="1"/>
    <x v="39"/>
    <s v="4 (16)"/>
    <n v="7"/>
    <x v="321"/>
    <s v="Le Chant De Mallory"/>
  </r>
  <r>
    <x v="15"/>
    <x v="25"/>
    <x v="1"/>
    <x v="86"/>
    <s v="3 (18)"/>
    <n v="11"/>
    <x v="322"/>
    <s v="N'avoue Jamais"/>
  </r>
  <r>
    <x v="15"/>
    <x v="26"/>
    <x v="1"/>
    <x v="30"/>
    <s v="16 (18)"/>
    <n v="15"/>
    <x v="323"/>
    <s v="Chez Nous"/>
  </r>
  <r>
    <x v="15"/>
    <x v="27"/>
    <x v="1"/>
    <x v="42"/>
    <s v="3 (17)"/>
    <n v="4"/>
    <x v="324"/>
    <s v="Il Doit Faire Beau Lа-bas"/>
  </r>
  <r>
    <x v="15"/>
    <x v="28"/>
    <x v="1"/>
    <x v="42"/>
    <s v="3 (17)"/>
    <n v="10"/>
    <x v="319"/>
    <s v="La Source"/>
  </r>
  <r>
    <x v="15"/>
    <x v="58"/>
    <x v="1"/>
    <x v="71"/>
    <s v="1 (16)"/>
    <n v="14"/>
    <x v="325"/>
    <s v="Un Jour, Un Enfant"/>
  </r>
  <r>
    <x v="15"/>
    <x v="59"/>
    <x v="1"/>
    <x v="27"/>
    <s v="4 (12)"/>
    <n v="6"/>
    <x v="326"/>
    <s v="Marie Blanche"/>
  </r>
  <r>
    <x v="15"/>
    <x v="29"/>
    <x v="1"/>
    <x v="140"/>
    <s v="10 (18)"/>
    <n v="7"/>
    <x v="327"/>
    <s v="Un Jardin Sur La Terre"/>
  </r>
  <r>
    <x v="15"/>
    <x v="30"/>
    <x v="1"/>
    <x v="148"/>
    <s v="11 (18)"/>
    <n v="2"/>
    <x v="328"/>
    <s v="Comй-comйdie"/>
  </r>
  <r>
    <x v="15"/>
    <x v="60"/>
    <x v="1"/>
    <x v="52"/>
    <s v="15 (17)"/>
    <n v="16"/>
    <x v="329"/>
    <s v="Sans Toi"/>
  </r>
  <r>
    <x v="15"/>
    <x v="62"/>
    <x v="1"/>
    <x v="100"/>
    <s v="4 (19)"/>
    <n v="3"/>
    <x v="330"/>
    <s v="Et Bonjour а Toi L'artiste"/>
  </r>
  <r>
    <x v="15"/>
    <x v="31"/>
    <x v="1"/>
    <x v="149"/>
    <s v="2 (18)"/>
    <n v="17"/>
    <x v="331"/>
    <s v="Un, Deux, Trois"/>
  </r>
  <r>
    <x v="15"/>
    <x v="32"/>
    <x v="1"/>
    <x v="150"/>
    <s v="1 (18)"/>
    <n v="18"/>
    <x v="332"/>
    <s v="L'oiseau Et L'enfant"/>
  </r>
  <r>
    <x v="15"/>
    <x v="33"/>
    <x v="1"/>
    <x v="151"/>
    <s v="3 (20)"/>
    <n v="6"/>
    <x v="333"/>
    <s v="Il Y Aura Toujours Des Violons"/>
  </r>
  <r>
    <x v="15"/>
    <x v="34"/>
    <x v="1"/>
    <x v="0"/>
    <s v="3 (19)"/>
    <n v="11"/>
    <x v="334"/>
    <s v="Je Suis L'enfant-soleil"/>
  </r>
  <r>
    <x v="15"/>
    <x v="35"/>
    <x v="1"/>
    <x v="117"/>
    <s v="11 (19)"/>
    <n v="16"/>
    <x v="335"/>
    <s v="Hй, Hй M'sieurs Dames"/>
  </r>
  <r>
    <x v="15"/>
    <x v="36"/>
    <x v="1"/>
    <x v="25"/>
    <s v="3 (20)"/>
    <n v="9"/>
    <x v="336"/>
    <s v="Humanahum"/>
  </r>
  <r>
    <x v="15"/>
    <x v="38"/>
    <x v="1"/>
    <x v="83"/>
    <s v="8 (20)"/>
    <n v="1"/>
    <x v="326"/>
    <s v="Vivre"/>
  </r>
  <r>
    <x v="15"/>
    <x v="39"/>
    <x v="1"/>
    <x v="19"/>
    <s v="8 (19)"/>
    <n v="3"/>
    <x v="337"/>
    <s v="Autant D'amoureux Que D'йtoiles"/>
  </r>
  <r>
    <x v="15"/>
    <x v="40"/>
    <x v="1"/>
    <x v="83"/>
    <s v="10 (19)"/>
    <n v="6"/>
    <x v="338"/>
    <s v="Femme Dans Ses Rкves Aussi"/>
  </r>
  <r>
    <x v="15"/>
    <x v="41"/>
    <x v="1"/>
    <x v="79"/>
    <s v="17 (20)"/>
    <n v="3"/>
    <x v="339"/>
    <s v="Europйennes"/>
  </r>
  <r>
    <x v="15"/>
    <x v="42"/>
    <x v="1"/>
    <x v="114"/>
    <s v="14 (22)"/>
    <n v="15"/>
    <x v="340"/>
    <s v="Les Mots D'amour N'ont Pas De Dimanche"/>
  </r>
  <r>
    <x v="15"/>
    <x v="43"/>
    <x v="1"/>
    <x v="41"/>
    <s v="10 (21)"/>
    <n v="19"/>
    <x v="341"/>
    <s v="Chanteur De Charme"/>
  </r>
  <r>
    <x v="15"/>
    <x v="44"/>
    <x v="1"/>
    <x v="43"/>
    <s v="8 (22)"/>
    <n v="15"/>
    <x v="342"/>
    <s v="J'ai Volй La Vie"/>
  </r>
  <r>
    <x v="15"/>
    <x v="45"/>
    <x v="1"/>
    <x v="60"/>
    <s v="2 (22)"/>
    <n v="14"/>
    <x v="343"/>
    <s v="White And Black Blues"/>
  </r>
  <r>
    <x v="15"/>
    <x v="46"/>
    <x v="1"/>
    <x v="5"/>
    <s v="2 (22)"/>
    <n v="9"/>
    <x v="344"/>
    <s v="C'est Le Dernier Qui A Parlй Qui A Raison"/>
  </r>
  <r>
    <x v="15"/>
    <x v="47"/>
    <x v="1"/>
    <x v="118"/>
    <s v="8 (23)"/>
    <n v="6"/>
    <x v="345"/>
    <s v="Montй La Riviи"/>
  </r>
  <r>
    <x v="15"/>
    <x v="48"/>
    <x v="1"/>
    <x v="152"/>
    <s v="4 (25)"/>
    <n v="12"/>
    <x v="346"/>
    <s v="Mama Corsica"/>
  </r>
  <r>
    <x v="15"/>
    <x v="49"/>
    <x v="1"/>
    <x v="95"/>
    <s v="7 (25)"/>
    <n v="25"/>
    <x v="347"/>
    <s v="Je Suis Un Vrai Garзon"/>
  </r>
  <r>
    <x v="15"/>
    <x v="50"/>
    <x v="1"/>
    <x v="127"/>
    <s v="4 (23)"/>
    <n v="12"/>
    <x v="348"/>
    <s v="Il Me Donne Rendez-vous"/>
  </r>
  <r>
    <x v="15"/>
    <x v="51"/>
    <x v="1"/>
    <x v="71"/>
    <s v="19 (23)"/>
    <n v="13"/>
    <x v="349"/>
    <s v="Diwanit Bugale"/>
  </r>
  <r>
    <x v="15"/>
    <x v="52"/>
    <x v="1"/>
    <x v="153"/>
    <s v="7 (25)"/>
    <n v="22"/>
    <x v="350"/>
    <s v="Sentiments Songes"/>
  </r>
  <r>
    <x v="15"/>
    <x v="63"/>
    <x v="1"/>
    <x v="26"/>
    <s v="24 (25)"/>
    <n v="3"/>
    <x v="351"/>
    <s v="Oщ Aller"/>
  </r>
  <r>
    <x v="15"/>
    <x v="53"/>
    <x v="1"/>
    <x v="39"/>
    <s v="19 (23)"/>
    <n v="10"/>
    <x v="352"/>
    <s v="Je Veux Donner Ma Voix"/>
  </r>
  <r>
    <x v="15"/>
    <x v="54"/>
    <x v="1"/>
    <x v="40"/>
    <s v="23 (24)"/>
    <n v="5"/>
    <x v="353"/>
    <s v="On Aura Le Ciel"/>
  </r>
  <r>
    <x v="15"/>
    <x v="64"/>
    <x v="1"/>
    <x v="154"/>
    <s v="4 (23)"/>
    <n v="14"/>
    <x v="354"/>
    <s v="Je N'ai Que Mon вme"/>
  </r>
  <r>
    <x v="15"/>
    <x v="55"/>
    <x v="1"/>
    <x v="155"/>
    <s v="5 (24)"/>
    <n v="17"/>
    <x v="355"/>
    <s v="Il Faut Du Temps"/>
  </r>
  <r>
    <x v="15"/>
    <x v="56"/>
    <x v="1"/>
    <x v="49"/>
    <s v="18 (26)"/>
    <n v="19"/>
    <x v="356"/>
    <s v="Monts Et Merveilles"/>
  </r>
  <r>
    <x v="15"/>
    <x v="0"/>
    <x v="0"/>
    <x v="77"/>
    <s v="15 (24)"/>
    <n v="4"/>
    <x v="357"/>
    <s v="A Chaque Pas"/>
  </r>
  <r>
    <x v="15"/>
    <x v="1"/>
    <x v="0"/>
    <x v="33"/>
    <s v="23 (24)"/>
    <n v="24"/>
    <x v="358"/>
    <s v="Chacun Pense а Soi"/>
  </r>
  <r>
    <x v="15"/>
    <x v="10"/>
    <x v="0"/>
    <x v="40"/>
    <s v="22 (24)"/>
    <n v="19"/>
    <x v="359"/>
    <s v="Il йtait Temps"/>
  </r>
  <r>
    <x v="15"/>
    <x v="11"/>
    <x v="0"/>
    <x v="49"/>
    <s v="22 (24)"/>
    <n v="13"/>
    <x v="360"/>
    <s v="L'amour а La Franзaise"/>
  </r>
  <r>
    <x v="15"/>
    <x v="2"/>
    <x v="0"/>
    <x v="133"/>
    <s v="19 (25)"/>
    <n v="19"/>
    <x v="361"/>
    <s v="Divine"/>
  </r>
  <r>
    <x v="15"/>
    <x v="3"/>
    <x v="0"/>
    <x v="156"/>
    <s v="8 (25)"/>
    <n v="3"/>
    <x v="362"/>
    <s v="Et S'il Fallait Le Faire"/>
  </r>
  <r>
    <x v="15"/>
    <x v="4"/>
    <x v="0"/>
    <x v="140"/>
    <s v="12 (25)"/>
    <n v="18"/>
    <x v="363"/>
    <s v="Alllez Olla Olй"/>
  </r>
  <r>
    <x v="15"/>
    <x v="57"/>
    <x v="0"/>
    <x v="140"/>
    <s v="15 (25)"/>
    <n v="11"/>
    <x v="364"/>
    <s v="Sognu"/>
  </r>
  <r>
    <x v="15"/>
    <x v="5"/>
    <x v="0"/>
    <x v="138"/>
    <s v="22 (26)"/>
    <n v="9"/>
    <x v="365"/>
    <s v="Echo (You And I)"/>
  </r>
  <r>
    <x v="15"/>
    <x v="12"/>
    <x v="0"/>
    <x v="39"/>
    <s v="23 (26)"/>
    <n v="1"/>
    <x v="366"/>
    <s v="L'enfer Et Moi"/>
  </r>
  <r>
    <x v="15"/>
    <x v="13"/>
    <x v="0"/>
    <x v="35"/>
    <s v="26 (26)"/>
    <n v="14"/>
    <x v="367"/>
    <s v="Moustache"/>
  </r>
  <r>
    <x v="15"/>
    <x v="6"/>
    <x v="0"/>
    <x v="28"/>
    <s v="25 (27)"/>
    <n v="2"/>
    <x v="368"/>
    <s v="N'oubliez Pas"/>
  </r>
  <r>
    <x v="15"/>
    <x v="14"/>
    <x v="0"/>
    <x v="157"/>
    <s v="6 (26)"/>
    <n v="11"/>
    <x v="369"/>
    <s v="J'ai cherchй"/>
  </r>
  <r>
    <x v="15"/>
    <x v="15"/>
    <x v="0"/>
    <x v="158"/>
    <s v="12 (26)"/>
    <n v="26"/>
    <x v="370"/>
    <s v="Requiem"/>
  </r>
  <r>
    <x v="15"/>
    <x v="7"/>
    <x v="0"/>
    <x v="22"/>
    <s v="13 (26)"/>
    <n v="13"/>
    <x v="371"/>
    <s v="Mercy"/>
  </r>
  <r>
    <x v="15"/>
    <x v="8"/>
    <x v="0"/>
    <x v="159"/>
    <s v="16 (26)"/>
    <n v="21"/>
    <x v="372"/>
    <s v="Roi"/>
  </r>
  <r>
    <x v="15"/>
    <x v="9"/>
    <x v="0"/>
    <x v="160"/>
    <s v="2 (26)"/>
    <n v="20"/>
    <x v="373"/>
    <s v="Voilа"/>
  </r>
  <r>
    <x v="15"/>
    <x v="16"/>
    <x v="0"/>
    <x v="75"/>
    <s v="24 (25)"/>
    <n v="6"/>
    <x v="374"/>
    <s v="Fulenn"/>
  </r>
  <r>
    <x v="16"/>
    <x v="11"/>
    <x v="0"/>
    <x v="45"/>
    <s v="12 (24)"/>
    <n v="11"/>
    <x v="375"/>
    <s v="My Story"/>
  </r>
  <r>
    <x v="16"/>
    <x v="2"/>
    <x v="0"/>
    <x v="73"/>
    <s v="11 (25)"/>
    <n v="17"/>
    <x v="376"/>
    <s v="Peace Will Come"/>
  </r>
  <r>
    <x v="16"/>
    <x v="4"/>
    <x v="0"/>
    <x v="150"/>
    <s v="9 (25)"/>
    <n v="13"/>
    <x v="377"/>
    <s v="Shine"/>
  </r>
  <r>
    <x v="16"/>
    <x v="57"/>
    <x v="0"/>
    <x v="102"/>
    <s v="9 (25)"/>
    <n v="25"/>
    <x v="378"/>
    <s v="One More Day"/>
  </r>
  <r>
    <x v="16"/>
    <x v="12"/>
    <x v="0"/>
    <x v="115"/>
    <s v="15 (26)"/>
    <n v="25"/>
    <x v="379"/>
    <s v="Waterfall"/>
  </r>
  <r>
    <x v="16"/>
    <x v="6"/>
    <x v="0"/>
    <x v="103"/>
    <s v="11 (27)"/>
    <n v="23"/>
    <x v="380"/>
    <s v="Warrior"/>
  </r>
  <r>
    <x v="16"/>
    <x v="14"/>
    <x v="0"/>
    <x v="155"/>
    <s v="20 (26)"/>
    <n v="23"/>
    <x v="381"/>
    <s v="Midnight Gold"/>
  </r>
  <r>
    <x v="17"/>
    <x v="17"/>
    <x v="1"/>
    <x v="27"/>
    <s v="4 (10)"/>
    <n v="7"/>
    <x v="382"/>
    <s v="Telefon, Telefon"/>
  </r>
  <r>
    <x v="17"/>
    <x v="18"/>
    <x v="1"/>
    <x v="40"/>
    <s v="7 (10)"/>
    <n v="8"/>
    <x v="382"/>
    <s v="Fьr Zwei Groschen Musik"/>
  </r>
  <r>
    <x v="17"/>
    <x v="19"/>
    <x v="1"/>
    <x v="40"/>
    <s v="8 (11)"/>
    <n v="6"/>
    <x v="383"/>
    <s v="Heut' Woll'n Wir Tanzen Geh'n"/>
  </r>
  <r>
    <x v="17"/>
    <x v="20"/>
    <x v="1"/>
    <x v="33"/>
    <s v="4 (13)"/>
    <n v="11"/>
    <x v="384"/>
    <s v="Bonne Nuit, Ma Chйrie!"/>
  </r>
  <r>
    <x v="17"/>
    <x v="21"/>
    <x v="1"/>
    <x v="26"/>
    <s v="13 (16)"/>
    <n v="8"/>
    <x v="385"/>
    <s v="Einmal Sehen Wir Uns Wieder"/>
  </r>
  <r>
    <x v="17"/>
    <x v="22"/>
    <x v="1"/>
    <x v="55"/>
    <s v="6 (16)"/>
    <n v="7"/>
    <x v="386"/>
    <s v="Zwei Kleine Italiener"/>
  </r>
  <r>
    <x v="17"/>
    <x v="23"/>
    <x v="1"/>
    <x v="40"/>
    <s v="9 (16)"/>
    <n v="3"/>
    <x v="387"/>
    <s v="Marcel"/>
  </r>
  <r>
    <x v="17"/>
    <x v="24"/>
    <x v="1"/>
    <x v="31"/>
    <s v="13 (16)"/>
    <n v="9"/>
    <x v="388"/>
    <s v="Man Gewцhnt Sich So Schnell An Das Schцne"/>
  </r>
  <r>
    <x v="17"/>
    <x v="25"/>
    <x v="1"/>
    <x v="31"/>
    <s v="15 (18)"/>
    <n v="5"/>
    <x v="389"/>
    <s v="Paradies, Wo Bist Du?"/>
  </r>
  <r>
    <x v="17"/>
    <x v="26"/>
    <x v="1"/>
    <x v="81"/>
    <s v="10 (18)"/>
    <n v="1"/>
    <x v="390"/>
    <s v="Die Zeiger Der Uhr"/>
  </r>
  <r>
    <x v="17"/>
    <x v="27"/>
    <x v="1"/>
    <x v="81"/>
    <s v="8 (17)"/>
    <n v="9"/>
    <x v="391"/>
    <s v="Anouschka"/>
  </r>
  <r>
    <x v="17"/>
    <x v="28"/>
    <x v="1"/>
    <x v="33"/>
    <s v="6 (17)"/>
    <n v="16"/>
    <x v="392"/>
    <s v="Ein Hoch Der Liebe"/>
  </r>
  <r>
    <x v="17"/>
    <x v="58"/>
    <x v="1"/>
    <x v="27"/>
    <s v="9 (16)"/>
    <n v="13"/>
    <x v="393"/>
    <s v="Primaballerina"/>
  </r>
  <r>
    <x v="17"/>
    <x v="59"/>
    <x v="1"/>
    <x v="44"/>
    <s v="3 (12)"/>
    <n v="11"/>
    <x v="394"/>
    <s v="Wunder Gibt Es Immer Wieder"/>
  </r>
  <r>
    <x v="17"/>
    <x v="29"/>
    <x v="1"/>
    <x v="37"/>
    <s v="3 (18)"/>
    <n v="5"/>
    <x v="394"/>
    <s v="Diese Welt"/>
  </r>
  <r>
    <x v="17"/>
    <x v="30"/>
    <x v="1"/>
    <x v="156"/>
    <s v="3 (18)"/>
    <n v="1"/>
    <x v="395"/>
    <s v="Nur Die Liebe LдЯt Uns Leben"/>
  </r>
  <r>
    <x v="17"/>
    <x v="60"/>
    <x v="1"/>
    <x v="120"/>
    <s v="8 (17)"/>
    <n v="4"/>
    <x v="396"/>
    <s v="Junger Tag"/>
  </r>
  <r>
    <x v="17"/>
    <x v="61"/>
    <x v="1"/>
    <x v="26"/>
    <s v="14 (17)"/>
    <n v="14"/>
    <x v="397"/>
    <s v="Die Sommermelodie"/>
  </r>
  <r>
    <x v="17"/>
    <x v="62"/>
    <x v="1"/>
    <x v="121"/>
    <s v="17 (19)"/>
    <n v="4"/>
    <x v="398"/>
    <s v="Ein Lied Kann Eine Brьcke Sein"/>
  </r>
  <r>
    <x v="17"/>
    <x v="31"/>
    <x v="1"/>
    <x v="44"/>
    <s v="15 (18)"/>
    <n v="3"/>
    <x v="399"/>
    <s v="Sing, Sang, Song"/>
  </r>
  <r>
    <x v="17"/>
    <x v="32"/>
    <x v="1"/>
    <x v="2"/>
    <s v="8 (18)"/>
    <n v="6"/>
    <x v="400"/>
    <s v="Telegram"/>
  </r>
  <r>
    <x v="17"/>
    <x v="33"/>
    <x v="1"/>
    <x v="143"/>
    <s v="6 (20)"/>
    <n v="13"/>
    <x v="401"/>
    <s v="Feuer"/>
  </r>
  <r>
    <x v="17"/>
    <x v="34"/>
    <x v="1"/>
    <x v="98"/>
    <s v="4 (19)"/>
    <n v="9"/>
    <x v="402"/>
    <s v="Dschinghis Khan"/>
  </r>
  <r>
    <x v="17"/>
    <x v="35"/>
    <x v="1"/>
    <x v="119"/>
    <s v="2 (19)"/>
    <n v="12"/>
    <x v="394"/>
    <s v="Theater"/>
  </r>
  <r>
    <x v="17"/>
    <x v="36"/>
    <x v="1"/>
    <x v="60"/>
    <s v="2 (20)"/>
    <n v="3"/>
    <x v="403"/>
    <s v="Johnny Blue"/>
  </r>
  <r>
    <x v="17"/>
    <x v="37"/>
    <x v="1"/>
    <x v="161"/>
    <s v="1 (18)"/>
    <n v="18"/>
    <x v="404"/>
    <s v="Ein BiЯchen Frieden"/>
  </r>
  <r>
    <x v="17"/>
    <x v="38"/>
    <x v="1"/>
    <x v="127"/>
    <s v="5 (20)"/>
    <n v="14"/>
    <x v="405"/>
    <s v="Rьcksicht"/>
  </r>
  <r>
    <x v="17"/>
    <x v="39"/>
    <x v="1"/>
    <x v="6"/>
    <s v="13 (19)"/>
    <n v="14"/>
    <x v="395"/>
    <s v="Aufrecht Geh'n"/>
  </r>
  <r>
    <x v="17"/>
    <x v="40"/>
    <x v="1"/>
    <x v="159"/>
    <s v="2 (19)"/>
    <n v="10"/>
    <x v="406"/>
    <s v="Fьr Alle"/>
  </r>
  <r>
    <x v="17"/>
    <x v="41"/>
    <x v="1"/>
    <x v="4"/>
    <s v="8 (20)"/>
    <n v="14"/>
    <x v="407"/>
    <s v="Ьber Die Brьcke Geh'n"/>
  </r>
  <r>
    <x v="17"/>
    <x v="42"/>
    <x v="1"/>
    <x v="14"/>
    <s v="2 (22)"/>
    <n v="16"/>
    <x v="406"/>
    <s v="LaЯ Die Sonne In Dein Herz"/>
  </r>
  <r>
    <x v="17"/>
    <x v="43"/>
    <x v="1"/>
    <x v="3"/>
    <s v="14 (21)"/>
    <n v="11"/>
    <x v="408"/>
    <s v="Lied Fьr Einen Freund"/>
  </r>
  <r>
    <x v="17"/>
    <x v="44"/>
    <x v="1"/>
    <x v="84"/>
    <s v="14 (22)"/>
    <n v="21"/>
    <x v="409"/>
    <s v="Flieger"/>
  </r>
  <r>
    <x v="17"/>
    <x v="45"/>
    <x v="1"/>
    <x v="43"/>
    <s v="9 (22)"/>
    <n v="13"/>
    <x v="410"/>
    <s v="Frei Zu Leben"/>
  </r>
  <r>
    <x v="17"/>
    <x v="46"/>
    <x v="1"/>
    <x v="74"/>
    <s v="18 (22)"/>
    <n v="17"/>
    <x v="411"/>
    <s v="Dieser Traum Darf Niemals Sterben"/>
  </r>
  <r>
    <x v="17"/>
    <x v="47"/>
    <x v="1"/>
    <x v="96"/>
    <s v="16 (23)"/>
    <n v="22"/>
    <x v="406"/>
    <s v="Trдume Sind Fьr Alle Da"/>
  </r>
  <r>
    <x v="17"/>
    <x v="48"/>
    <x v="1"/>
    <x v="71"/>
    <s v="18 (25)"/>
    <n v="3"/>
    <x v="412"/>
    <s v="Viel Zu Weit"/>
  </r>
  <r>
    <x v="17"/>
    <x v="49"/>
    <x v="1"/>
    <x v="119"/>
    <s v="3 (25)"/>
    <n v="14"/>
    <x v="413"/>
    <s v="Wir Geben 'ne Party"/>
  </r>
  <r>
    <x v="17"/>
    <x v="50"/>
    <x v="1"/>
    <x v="30"/>
    <s v="23 (23)"/>
    <n v="3"/>
    <x v="414"/>
    <s v="Verliebt In Dich"/>
  </r>
  <r>
    <x v="17"/>
    <x v="52"/>
    <x v="1"/>
    <x v="86"/>
    <s v="18 (25)"/>
    <n v="11"/>
    <x v="415"/>
    <s v="Zeit"/>
  </r>
  <r>
    <x v="17"/>
    <x v="63"/>
    <x v="1"/>
    <x v="98"/>
    <s v="7 (25)"/>
    <n v="9"/>
    <x v="416"/>
    <s v="Guildo Hat Euch Lieb"/>
  </r>
  <r>
    <x v="17"/>
    <x v="53"/>
    <x v="1"/>
    <x v="162"/>
    <s v="3 (23)"/>
    <n v="21"/>
    <x v="417"/>
    <s v="Reise Nach Jerusalem - Kudьs'e Seyahat"/>
  </r>
  <r>
    <x v="17"/>
    <x v="54"/>
    <x v="1"/>
    <x v="78"/>
    <s v="5 (24)"/>
    <n v="15"/>
    <x v="418"/>
    <s v="Wadde Hadde Dudde Da"/>
  </r>
  <r>
    <x v="17"/>
    <x v="64"/>
    <x v="1"/>
    <x v="36"/>
    <s v="8 (23)"/>
    <n v="19"/>
    <x v="419"/>
    <s v="Wer Liebe Lebt"/>
  </r>
  <r>
    <x v="17"/>
    <x v="55"/>
    <x v="1"/>
    <x v="75"/>
    <s v="21 (24)"/>
    <n v="18"/>
    <x v="420"/>
    <s v="I Can't Live Without Music"/>
  </r>
  <r>
    <x v="17"/>
    <x v="56"/>
    <x v="1"/>
    <x v="1"/>
    <s v="11 (26)"/>
    <n v="10"/>
    <x v="421"/>
    <s v="Let's Get Happy"/>
  </r>
  <r>
    <x v="17"/>
    <x v="0"/>
    <x v="0"/>
    <x v="58"/>
    <s v="8 (24)"/>
    <n v="8"/>
    <x v="422"/>
    <s v="Can't Wait Until Tonight"/>
  </r>
  <r>
    <x v="17"/>
    <x v="1"/>
    <x v="0"/>
    <x v="28"/>
    <s v="24 (24)"/>
    <n v="17"/>
    <x v="423"/>
    <s v="Run &amp; Hide"/>
  </r>
  <r>
    <x v="17"/>
    <x v="10"/>
    <x v="0"/>
    <x v="122"/>
    <s v="14 (24)"/>
    <n v="8"/>
    <x v="424"/>
    <s v="No, No, Never"/>
  </r>
  <r>
    <x v="17"/>
    <x v="11"/>
    <x v="0"/>
    <x v="67"/>
    <s v="19 (24)"/>
    <n v="16"/>
    <x v="425"/>
    <s v="Frauen Regieren Die Welt"/>
  </r>
  <r>
    <x v="17"/>
    <x v="2"/>
    <x v="0"/>
    <x v="39"/>
    <s v="23 (25)"/>
    <n v="4"/>
    <x v="426"/>
    <s v="Disappear"/>
  </r>
  <r>
    <x v="17"/>
    <x v="3"/>
    <x v="0"/>
    <x v="146"/>
    <s v="20 (25)"/>
    <n v="17"/>
    <x v="427"/>
    <s v="Miss Kiss Kiss Bang"/>
  </r>
  <r>
    <x v="17"/>
    <x v="4"/>
    <x v="0"/>
    <x v="163"/>
    <s v="1 (25)"/>
    <n v="22"/>
    <x v="428"/>
    <s v="Satellite"/>
  </r>
  <r>
    <x v="17"/>
    <x v="57"/>
    <x v="0"/>
    <x v="156"/>
    <s v="10 (25)"/>
    <n v="16"/>
    <x v="428"/>
    <s v="Taken By A Stranger"/>
  </r>
  <r>
    <x v="17"/>
    <x v="5"/>
    <x v="0"/>
    <x v="102"/>
    <s v="8 (26)"/>
    <n v="20"/>
    <x v="429"/>
    <s v="Standing Still"/>
  </r>
  <r>
    <x v="17"/>
    <x v="12"/>
    <x v="0"/>
    <x v="71"/>
    <s v="21 (26)"/>
    <n v="11"/>
    <x v="430"/>
    <s v="Glorious"/>
  </r>
  <r>
    <x v="17"/>
    <x v="13"/>
    <x v="0"/>
    <x v="97"/>
    <s v="18 (26)"/>
    <n v="12"/>
    <x v="431"/>
    <s v="Is it right"/>
  </r>
  <r>
    <x v="17"/>
    <x v="6"/>
    <x v="0"/>
    <x v="31"/>
    <s v="27 (27)"/>
    <n v="17"/>
    <x v="432"/>
    <s v="Black Smoke"/>
  </r>
  <r>
    <x v="17"/>
    <x v="14"/>
    <x v="0"/>
    <x v="33"/>
    <s v="26 (26)"/>
    <n v="10"/>
    <x v="433"/>
    <s v="Ghost"/>
  </r>
  <r>
    <x v="17"/>
    <x v="15"/>
    <x v="0"/>
    <x v="29"/>
    <s v="25 (26)"/>
    <n v="21"/>
    <x v="434"/>
    <s v="Perfect Life"/>
  </r>
  <r>
    <x v="17"/>
    <x v="7"/>
    <x v="0"/>
    <x v="164"/>
    <s v="4 (26)"/>
    <n v="11"/>
    <x v="435"/>
    <s v="You Let Me Walk Alone"/>
  </r>
  <r>
    <x v="17"/>
    <x v="8"/>
    <x v="0"/>
    <x v="110"/>
    <s v="25 (26)"/>
    <n v="4"/>
    <x v="436"/>
    <s v="Sister"/>
  </r>
  <r>
    <x v="17"/>
    <x v="9"/>
    <x v="0"/>
    <x v="26"/>
    <s v="25 (26)"/>
    <n v="15"/>
    <x v="437"/>
    <s v="I Don't Feel Hate"/>
  </r>
  <r>
    <x v="17"/>
    <x v="16"/>
    <x v="0"/>
    <x v="29"/>
    <s v="25 (25)"/>
    <n v="13"/>
    <x v="438"/>
    <s v="Rockstars"/>
  </r>
  <r>
    <x v="18"/>
    <x v="61"/>
    <x v="1"/>
    <x v="81"/>
    <s v="11 (17)"/>
    <n v="5"/>
    <x v="439"/>
    <s v="Krassi, Thalassa Ke T'agori Mou"/>
  </r>
  <r>
    <x v="18"/>
    <x v="31"/>
    <x v="1"/>
    <x v="42"/>
    <s v="13 (18)"/>
    <n v="10"/>
    <x v="440"/>
    <s v="Panaghia Mou, Panaghia Mou"/>
  </r>
  <r>
    <x v="18"/>
    <x v="32"/>
    <x v="1"/>
    <x v="13"/>
    <s v="5 (18)"/>
    <n v="10"/>
    <x v="441"/>
    <s v="Mathema Solfege"/>
  </r>
  <r>
    <x v="18"/>
    <x v="33"/>
    <x v="1"/>
    <x v="36"/>
    <s v="8 (20)"/>
    <n v="15"/>
    <x v="442"/>
    <s v="Charlie Chaplin"/>
  </r>
  <r>
    <x v="18"/>
    <x v="34"/>
    <x v="1"/>
    <x v="76"/>
    <s v="8 (19)"/>
    <n v="7"/>
    <x v="181"/>
    <s v="Socrates"/>
  </r>
  <r>
    <x v="18"/>
    <x v="35"/>
    <x v="1"/>
    <x v="165"/>
    <s v="13 (19)"/>
    <n v="3"/>
    <x v="443"/>
    <s v="Autostop"/>
  </r>
  <r>
    <x v="18"/>
    <x v="36"/>
    <x v="1"/>
    <x v="2"/>
    <s v="8 (20)"/>
    <n v="17"/>
    <x v="444"/>
    <s v="Feggari Kalokerino"/>
  </r>
  <r>
    <x v="18"/>
    <x v="38"/>
    <x v="1"/>
    <x v="48"/>
    <s v="14 (20)"/>
    <n v="10"/>
    <x v="445"/>
    <s v="Mou Les"/>
  </r>
  <r>
    <x v="18"/>
    <x v="40"/>
    <x v="1"/>
    <x v="121"/>
    <s v="16 (19)"/>
    <n v="19"/>
    <x v="446"/>
    <s v="Miazoume"/>
  </r>
  <r>
    <x v="18"/>
    <x v="42"/>
    <x v="1"/>
    <x v="41"/>
    <s v="10 (22)"/>
    <n v="11"/>
    <x v="447"/>
    <s v="Stop!"/>
  </r>
  <r>
    <x v="18"/>
    <x v="43"/>
    <x v="1"/>
    <x v="74"/>
    <s v="17 (21)"/>
    <n v="14"/>
    <x v="448"/>
    <s v="Kloun"/>
  </r>
  <r>
    <x v="18"/>
    <x v="44"/>
    <x v="1"/>
    <x v="83"/>
    <s v="9 (22)"/>
    <n v="19"/>
    <x v="449"/>
    <s v="To Diko Sou Asteri"/>
  </r>
  <r>
    <x v="18"/>
    <x v="45"/>
    <x v="1"/>
    <x v="33"/>
    <s v="19 (22)"/>
    <n v="2"/>
    <x v="450"/>
    <s v="Horis Skopo"/>
  </r>
  <r>
    <x v="18"/>
    <x v="46"/>
    <x v="1"/>
    <x v="122"/>
    <s v="13 (22)"/>
    <n v="4"/>
    <x v="451"/>
    <s v="I Anixi"/>
  </r>
  <r>
    <x v="18"/>
    <x v="47"/>
    <x v="1"/>
    <x v="127"/>
    <s v="5 (23)"/>
    <n v="5"/>
    <x v="452"/>
    <s v="Olou Tou Kosmou I Elpida"/>
  </r>
  <r>
    <x v="18"/>
    <x v="48"/>
    <x v="1"/>
    <x v="41"/>
    <s v="9 (25)"/>
    <n v="6"/>
    <x v="453"/>
    <s v="Ellada, Hora Tou Fotos"/>
  </r>
  <r>
    <x v="18"/>
    <x v="49"/>
    <x v="1"/>
    <x v="114"/>
    <s v="14 (25)"/>
    <n v="19"/>
    <x v="454"/>
    <s v="To Trehantiri (diri Diri)"/>
  </r>
  <r>
    <x v="18"/>
    <x v="50"/>
    <x v="1"/>
    <x v="51"/>
    <s v="12 (23)"/>
    <n v="23"/>
    <x v="455"/>
    <s v="Pia Prossefchi"/>
  </r>
  <r>
    <x v="18"/>
    <x v="51"/>
    <x v="1"/>
    <x v="122"/>
    <s v="14 (23)"/>
    <n v="10"/>
    <x v="456"/>
    <s v="Emis Forame To Himona Anixiatika"/>
  </r>
  <r>
    <x v="18"/>
    <x v="52"/>
    <x v="1"/>
    <x v="97"/>
    <s v="12 (25)"/>
    <n v="17"/>
    <x v="457"/>
    <s v="Horepse"/>
  </r>
  <r>
    <x v="18"/>
    <x v="63"/>
    <x v="1"/>
    <x v="44"/>
    <s v="20 (25)"/>
    <n v="2"/>
    <x v="458"/>
    <s v="Mia Krifi Evaisthissia"/>
  </r>
  <r>
    <x v="18"/>
    <x v="64"/>
    <x v="1"/>
    <x v="149"/>
    <s v="3 (23)"/>
    <n v="22"/>
    <x v="459"/>
    <s v="Die For You"/>
  </r>
  <r>
    <x v="18"/>
    <x v="55"/>
    <x v="1"/>
    <x v="96"/>
    <s v="17 (24)"/>
    <n v="4"/>
    <x v="460"/>
    <s v="S.A.G.A.P.O."/>
  </r>
  <r>
    <x v="18"/>
    <x v="56"/>
    <x v="1"/>
    <x v="130"/>
    <s v="17 (26)"/>
    <n v="17"/>
    <x v="461"/>
    <s v="Never Let You Go"/>
  </r>
  <r>
    <x v="18"/>
    <x v="0"/>
    <x v="0"/>
    <x v="166"/>
    <s v="3 (24)"/>
    <n v="16"/>
    <x v="462"/>
    <s v="Shake It"/>
  </r>
  <r>
    <x v="18"/>
    <x v="1"/>
    <x v="0"/>
    <x v="167"/>
    <s v="1 (24)"/>
    <n v="19"/>
    <x v="463"/>
    <s v="My Number One"/>
  </r>
  <r>
    <x v="18"/>
    <x v="10"/>
    <x v="0"/>
    <x v="119"/>
    <s v="9 (24)"/>
    <n v="16"/>
    <x v="177"/>
    <s v="Everything"/>
  </r>
  <r>
    <x v="18"/>
    <x v="11"/>
    <x v="0"/>
    <x v="168"/>
    <s v="7 (24)"/>
    <n v="10"/>
    <x v="464"/>
    <s v="Yassou Maria"/>
  </r>
  <r>
    <x v="18"/>
    <x v="2"/>
    <x v="0"/>
    <x v="169"/>
    <s v="3 (25)"/>
    <n v="21"/>
    <x v="465"/>
    <s v="Secret Combination"/>
  </r>
  <r>
    <x v="18"/>
    <x v="3"/>
    <x v="0"/>
    <x v="69"/>
    <s v="7 (25)"/>
    <n v="8"/>
    <x v="462"/>
    <s v="This Is Our Night"/>
  </r>
  <r>
    <x v="18"/>
    <x v="4"/>
    <x v="0"/>
    <x v="162"/>
    <s v="8 (25)"/>
    <n v="11"/>
    <x v="466"/>
    <s v="OPA"/>
  </r>
  <r>
    <x v="18"/>
    <x v="57"/>
    <x v="0"/>
    <x v="69"/>
    <s v="7 (25)"/>
    <n v="9"/>
    <x v="467"/>
    <s v="Watch My Dance"/>
  </r>
  <r>
    <x v="18"/>
    <x v="5"/>
    <x v="0"/>
    <x v="41"/>
    <s v="17 (26)"/>
    <n v="16"/>
    <x v="468"/>
    <s v="Aphrodisiac"/>
  </r>
  <r>
    <x v="18"/>
    <x v="12"/>
    <x v="0"/>
    <x v="170"/>
    <s v="6 (26)"/>
    <n v="21"/>
    <x v="469"/>
    <s v="Alcohol Is Free"/>
  </r>
  <r>
    <x v="18"/>
    <x v="13"/>
    <x v="0"/>
    <x v="146"/>
    <s v="20 (26)"/>
    <n v="10"/>
    <x v="470"/>
    <s v="Rise Up"/>
  </r>
  <r>
    <x v="18"/>
    <x v="6"/>
    <x v="0"/>
    <x v="85"/>
    <s v="19 (27)"/>
    <n v="15"/>
    <x v="471"/>
    <s v="One Last Breath"/>
  </r>
  <r>
    <x v="18"/>
    <x v="15"/>
    <x v="0"/>
    <x v="131"/>
    <s v="19 (26)"/>
    <n v="15"/>
    <x v="472"/>
    <s v="This is Love"/>
  </r>
  <r>
    <x v="18"/>
    <x v="8"/>
    <x v="0"/>
    <x v="95"/>
    <s v="21 (26)"/>
    <n v="13"/>
    <x v="473"/>
    <s v="Better Love"/>
  </r>
  <r>
    <x v="18"/>
    <x v="9"/>
    <x v="0"/>
    <x v="108"/>
    <s v="10 (26)"/>
    <n v="10"/>
    <x v="474"/>
    <s v="Last Dance"/>
  </r>
  <r>
    <x v="18"/>
    <x v="16"/>
    <x v="0"/>
    <x v="171"/>
    <s v="8 (25)"/>
    <n v="17"/>
    <x v="475"/>
    <s v="Die Together"/>
  </r>
  <r>
    <x v="19"/>
    <x v="49"/>
    <x v="1"/>
    <x v="87"/>
    <s v="4 (25)"/>
    <n v="22"/>
    <x v="476"/>
    <s v="Kinek Mondjam El Vйtkeimet"/>
  </r>
  <r>
    <x v="19"/>
    <x v="50"/>
    <x v="1"/>
    <x v="26"/>
    <s v="22 (23)"/>
    <n v="13"/>
    <x v="477"/>
    <s v="Щj Nиv Egy Rиgi Hаz Fаlan"/>
  </r>
  <r>
    <x v="19"/>
    <x v="52"/>
    <x v="1"/>
    <x v="97"/>
    <s v="12 (25)"/>
    <n v="19"/>
    <x v="478"/>
    <s v="Miert Kell, Hogy Elmenj?"/>
  </r>
  <r>
    <x v="19"/>
    <x v="63"/>
    <x v="1"/>
    <x v="28"/>
    <s v="23 (25)"/>
    <n v="11"/>
    <x v="479"/>
    <s v="A Holnap Mбr Nйm Lesz Szomorъ"/>
  </r>
  <r>
    <x v="19"/>
    <x v="1"/>
    <x v="0"/>
    <x v="45"/>
    <s v="12 (24)"/>
    <n v="1"/>
    <x v="480"/>
    <s v="Forogj Vilбg"/>
  </r>
  <r>
    <x v="19"/>
    <x v="11"/>
    <x v="0"/>
    <x v="119"/>
    <s v="9 (24)"/>
    <n v="8"/>
    <x v="481"/>
    <s v="Unsubstantial Blues"/>
  </r>
  <r>
    <x v="19"/>
    <x v="57"/>
    <x v="0"/>
    <x v="1"/>
    <s v="22 (25)"/>
    <n v="5"/>
    <x v="482"/>
    <s v="What About My Dreams?"/>
  </r>
  <r>
    <x v="19"/>
    <x v="5"/>
    <x v="0"/>
    <x v="49"/>
    <s v="24 (26)"/>
    <n v="2"/>
    <x v="483"/>
    <s v="Sound Of Our Hearts"/>
  </r>
  <r>
    <x v="19"/>
    <x v="12"/>
    <x v="0"/>
    <x v="143"/>
    <s v="10 (26)"/>
    <n v="17"/>
    <x v="484"/>
    <s v="Kedvesem (Zoohacker Remix)"/>
  </r>
  <r>
    <x v="19"/>
    <x v="13"/>
    <x v="0"/>
    <x v="90"/>
    <s v="5 (26)"/>
    <n v="21"/>
    <x v="485"/>
    <s v="Running"/>
  </r>
  <r>
    <x v="19"/>
    <x v="6"/>
    <x v="0"/>
    <x v="49"/>
    <s v="20 (27)"/>
    <n v="22"/>
    <x v="486"/>
    <s v="Wars For Nothing"/>
  </r>
  <r>
    <x v="19"/>
    <x v="14"/>
    <x v="0"/>
    <x v="172"/>
    <s v="19 (26)"/>
    <n v="5"/>
    <x v="487"/>
    <s v="Pioneer"/>
  </r>
  <r>
    <x v="19"/>
    <x v="15"/>
    <x v="0"/>
    <x v="173"/>
    <s v="8 (26)"/>
    <n v="8"/>
    <x v="488"/>
    <s v="Origo"/>
  </r>
  <r>
    <x v="19"/>
    <x v="7"/>
    <x v="0"/>
    <x v="58"/>
    <s v="21 (26)"/>
    <n v="21"/>
    <x v="489"/>
    <s v="Viszlбt Nyбr"/>
  </r>
  <r>
    <x v="20"/>
    <x v="41"/>
    <x v="1"/>
    <x v="49"/>
    <s v="16 (20)"/>
    <n v="6"/>
    <x v="490"/>
    <s v="Gleрibankinn"/>
  </r>
  <r>
    <x v="20"/>
    <x v="42"/>
    <x v="1"/>
    <x v="174"/>
    <s v="16 (22)"/>
    <n v="4"/>
    <x v="491"/>
    <s v="Hжgt Og Hljуtt"/>
  </r>
  <r>
    <x v="20"/>
    <x v="43"/>
    <x v="1"/>
    <x v="42"/>
    <s v="16 (21)"/>
    <n v="1"/>
    <x v="492"/>
    <s v="Sуkrates"/>
  </r>
  <r>
    <x v="20"/>
    <x v="44"/>
    <x v="1"/>
    <x v="31"/>
    <s v="22 (22)"/>
    <n v="20"/>
    <x v="493"/>
    <s v="Юaр Sem Enginn Sйr"/>
  </r>
  <r>
    <x v="20"/>
    <x v="45"/>
    <x v="1"/>
    <x v="175"/>
    <s v="4 (22)"/>
    <n v="8"/>
    <x v="494"/>
    <s v="Eitt Lag Enn"/>
  </r>
  <r>
    <x v="20"/>
    <x v="46"/>
    <x v="1"/>
    <x v="53"/>
    <s v="15 (22)"/>
    <n v="2"/>
    <x v="495"/>
    <s v="Nina"/>
  </r>
  <r>
    <x v="20"/>
    <x v="47"/>
    <x v="1"/>
    <x v="38"/>
    <s v="7 (23)"/>
    <n v="11"/>
    <x v="496"/>
    <s v="Nei Eрa Jб"/>
  </r>
  <r>
    <x v="20"/>
    <x v="48"/>
    <x v="1"/>
    <x v="113"/>
    <s v="13 (25)"/>
    <n v="9"/>
    <x v="497"/>
    <s v="Юб Veistu Svariр"/>
  </r>
  <r>
    <x v="20"/>
    <x v="49"/>
    <x v="1"/>
    <x v="67"/>
    <s v="12 (25)"/>
    <n v="5"/>
    <x v="498"/>
    <s v="Nжtur"/>
  </r>
  <r>
    <x v="20"/>
    <x v="50"/>
    <x v="1"/>
    <x v="34"/>
    <s v="15 (23)"/>
    <n v="7"/>
    <x v="499"/>
    <s v="Nъna"/>
  </r>
  <r>
    <x v="20"/>
    <x v="51"/>
    <x v="1"/>
    <x v="103"/>
    <s v="13 (23)"/>
    <n v="19"/>
    <x v="500"/>
    <s v="Sjъbнdъ"/>
  </r>
  <r>
    <x v="20"/>
    <x v="52"/>
    <x v="1"/>
    <x v="71"/>
    <s v="20 (25)"/>
    <n v="25"/>
    <x v="501"/>
    <s v="Minn Hinsti Dans"/>
  </r>
  <r>
    <x v="20"/>
    <x v="53"/>
    <x v="1"/>
    <x v="5"/>
    <s v="2 (23)"/>
    <n v="13"/>
    <x v="502"/>
    <s v="All Out Of Luck"/>
  </r>
  <r>
    <x v="20"/>
    <x v="54"/>
    <x v="1"/>
    <x v="117"/>
    <s v="12 (24)"/>
    <n v="12"/>
    <x v="503"/>
    <s v="Tell Me!"/>
  </r>
  <r>
    <x v="20"/>
    <x v="64"/>
    <x v="1"/>
    <x v="26"/>
    <s v="22 (23)"/>
    <n v="2"/>
    <x v="504"/>
    <s v="Angel"/>
  </r>
  <r>
    <x v="20"/>
    <x v="56"/>
    <x v="1"/>
    <x v="148"/>
    <s v="8 (26)"/>
    <n v="1"/>
    <x v="505"/>
    <s v="Open Your Heart"/>
  </r>
  <r>
    <x v="20"/>
    <x v="0"/>
    <x v="0"/>
    <x v="32"/>
    <s v="19 (24)"/>
    <n v="17"/>
    <x v="506"/>
    <s v="Heaven"/>
  </r>
  <r>
    <x v="20"/>
    <x v="2"/>
    <x v="0"/>
    <x v="41"/>
    <s v="14 (25)"/>
    <n v="11"/>
    <x v="507"/>
    <s v="This Is My Life"/>
  </r>
  <r>
    <x v="20"/>
    <x v="3"/>
    <x v="0"/>
    <x v="169"/>
    <s v="2 (25)"/>
    <n v="7"/>
    <x v="508"/>
    <s v="Is It True?"/>
  </r>
  <r>
    <x v="20"/>
    <x v="4"/>
    <x v="0"/>
    <x v="15"/>
    <s v="19 (25)"/>
    <n v="16"/>
    <x v="509"/>
    <s v="Je Ne Sais Quoi"/>
  </r>
  <r>
    <x v="20"/>
    <x v="57"/>
    <x v="0"/>
    <x v="19"/>
    <s v="20 (25)"/>
    <n v="21"/>
    <x v="510"/>
    <s v="Coming Home"/>
  </r>
  <r>
    <x v="20"/>
    <x v="5"/>
    <x v="0"/>
    <x v="84"/>
    <s v="20 (26)"/>
    <n v="7"/>
    <x v="511"/>
    <s v="Never Forget"/>
  </r>
  <r>
    <x v="20"/>
    <x v="12"/>
    <x v="0"/>
    <x v="133"/>
    <s v="17 (26)"/>
    <n v="19"/>
    <x v="512"/>
    <s v="Йg Б Lнf"/>
  </r>
  <r>
    <x v="20"/>
    <x v="13"/>
    <x v="0"/>
    <x v="46"/>
    <s v="15 (26)"/>
    <n v="4"/>
    <x v="513"/>
    <s v="No Prejudice"/>
  </r>
  <r>
    <x v="20"/>
    <x v="8"/>
    <x v="0"/>
    <x v="176"/>
    <s v="10 (26)"/>
    <n v="17"/>
    <x v="514"/>
    <s v="Hatriр mun sigra"/>
  </r>
  <r>
    <x v="20"/>
    <x v="9"/>
    <x v="0"/>
    <x v="177"/>
    <s v="4 (26)"/>
    <n v="12"/>
    <x v="515"/>
    <s v="10 Years"/>
  </r>
  <r>
    <x v="20"/>
    <x v="16"/>
    <x v="0"/>
    <x v="42"/>
    <s v="23 (25)"/>
    <n v="18"/>
    <x v="516"/>
    <s v="Meр Hжkkandi So?l"/>
  </r>
  <r>
    <x v="21"/>
    <x v="25"/>
    <x v="1"/>
    <x v="33"/>
    <s v="6 (18)"/>
    <n v="4"/>
    <x v="517"/>
    <s v="I'm Walking The Streets In The Rain"/>
  </r>
  <r>
    <x v="21"/>
    <x v="26"/>
    <x v="1"/>
    <x v="39"/>
    <s v="4 (18)"/>
    <n v="17"/>
    <x v="518"/>
    <s v="Come Back To Stay"/>
  </r>
  <r>
    <x v="21"/>
    <x v="27"/>
    <x v="1"/>
    <x v="86"/>
    <s v="2 (17)"/>
    <n v="17"/>
    <x v="519"/>
    <s v="If I Could Choose"/>
  </r>
  <r>
    <x v="21"/>
    <x v="28"/>
    <x v="1"/>
    <x v="71"/>
    <s v="4 (17)"/>
    <n v="14"/>
    <x v="520"/>
    <s v="Chance Of A Lifetime"/>
  </r>
  <r>
    <x v="21"/>
    <x v="58"/>
    <x v="1"/>
    <x v="74"/>
    <s v="7 (16)"/>
    <n v="5"/>
    <x v="521"/>
    <s v="The Wages Of Love"/>
  </r>
  <r>
    <x v="21"/>
    <x v="59"/>
    <x v="1"/>
    <x v="48"/>
    <s v="1 (12)"/>
    <n v="12"/>
    <x v="522"/>
    <s v="All Kinds Of Everything"/>
  </r>
  <r>
    <x v="21"/>
    <x v="29"/>
    <x v="1"/>
    <x v="18"/>
    <s v="11 (18)"/>
    <n v="13"/>
    <x v="523"/>
    <s v="One Day Love"/>
  </r>
  <r>
    <x v="21"/>
    <x v="30"/>
    <x v="1"/>
    <x v="123"/>
    <s v="15 (18)"/>
    <n v="3"/>
    <x v="524"/>
    <s v="Ceol On Ghrб"/>
  </r>
  <r>
    <x v="21"/>
    <x v="60"/>
    <x v="1"/>
    <x v="38"/>
    <s v="10 (17)"/>
    <n v="14"/>
    <x v="525"/>
    <s v="Do I Dream?"/>
  </r>
  <r>
    <x v="21"/>
    <x v="61"/>
    <x v="1"/>
    <x v="33"/>
    <s v="7 (17)"/>
    <n v="13"/>
    <x v="526"/>
    <s v="Cross Your Heart"/>
  </r>
  <r>
    <x v="21"/>
    <x v="62"/>
    <x v="1"/>
    <x v="51"/>
    <s v="9 (19)"/>
    <n v="2"/>
    <x v="527"/>
    <s v="That's What Friends Are For"/>
  </r>
  <r>
    <x v="21"/>
    <x v="31"/>
    <x v="1"/>
    <x v="178"/>
    <s v="10 (18)"/>
    <n v="7"/>
    <x v="528"/>
    <s v="When"/>
  </r>
  <r>
    <x v="21"/>
    <x v="32"/>
    <x v="1"/>
    <x v="151"/>
    <s v="3 (18)"/>
    <n v="1"/>
    <x v="529"/>
    <s v="It's Nice To Be In Love Again"/>
  </r>
  <r>
    <x v="21"/>
    <x v="33"/>
    <x v="1"/>
    <x v="98"/>
    <s v="5 (20)"/>
    <n v="1"/>
    <x v="530"/>
    <s v="Born To Sing"/>
  </r>
  <r>
    <x v="21"/>
    <x v="34"/>
    <x v="1"/>
    <x v="38"/>
    <s v="5 (19)"/>
    <n v="4"/>
    <x v="531"/>
    <s v="Happy Man"/>
  </r>
  <r>
    <x v="21"/>
    <x v="35"/>
    <x v="1"/>
    <x v="90"/>
    <s v="1 (19)"/>
    <n v="17"/>
    <x v="532"/>
    <s v="What's Another Year"/>
  </r>
  <r>
    <x v="21"/>
    <x v="36"/>
    <x v="1"/>
    <x v="159"/>
    <s v="5 (20)"/>
    <n v="12"/>
    <x v="533"/>
    <s v="Horoscopes"/>
  </r>
  <r>
    <x v="21"/>
    <x v="37"/>
    <x v="1"/>
    <x v="67"/>
    <s v="11 (18)"/>
    <n v="17"/>
    <x v="534"/>
    <s v="Here Today, Gone Tomorrow"/>
  </r>
  <r>
    <x v="21"/>
    <x v="39"/>
    <x v="1"/>
    <x v="179"/>
    <s v="2 (19)"/>
    <n v="9"/>
    <x v="535"/>
    <s v="Terminal '3'"/>
  </r>
  <r>
    <x v="21"/>
    <x v="40"/>
    <x v="1"/>
    <x v="100"/>
    <s v="6 (19)"/>
    <n v="1"/>
    <x v="536"/>
    <s v="Wait Until The Weekend Comes"/>
  </r>
  <r>
    <x v="21"/>
    <x v="41"/>
    <x v="1"/>
    <x v="78"/>
    <s v="4 (20)"/>
    <n v="12"/>
    <x v="537"/>
    <s v="You Can Count On Me"/>
  </r>
  <r>
    <x v="21"/>
    <x v="42"/>
    <x v="1"/>
    <x v="180"/>
    <s v="1 (22)"/>
    <n v="20"/>
    <x v="532"/>
    <s v="Hold Me Now"/>
  </r>
  <r>
    <x v="21"/>
    <x v="43"/>
    <x v="1"/>
    <x v="18"/>
    <s v="8 (21)"/>
    <n v="10"/>
    <x v="538"/>
    <s v="Take Him Home"/>
  </r>
  <r>
    <x v="21"/>
    <x v="44"/>
    <x v="1"/>
    <x v="138"/>
    <s v="18 (22)"/>
    <n v="3"/>
    <x v="539"/>
    <s v="The Real Me"/>
  </r>
  <r>
    <x v="21"/>
    <x v="45"/>
    <x v="1"/>
    <x v="60"/>
    <s v="2 (22)"/>
    <n v="17"/>
    <x v="540"/>
    <s v="Somewhere In Europe"/>
  </r>
  <r>
    <x v="21"/>
    <x v="46"/>
    <x v="1"/>
    <x v="133"/>
    <s v="10 (22)"/>
    <n v="11"/>
    <x v="541"/>
    <s v="Could It Be That I'm In Love"/>
  </r>
  <r>
    <x v="21"/>
    <x v="47"/>
    <x v="1"/>
    <x v="181"/>
    <s v="1 (23)"/>
    <n v="17"/>
    <x v="535"/>
    <s v="Why Me"/>
  </r>
  <r>
    <x v="21"/>
    <x v="48"/>
    <x v="1"/>
    <x v="182"/>
    <s v="1 (25)"/>
    <n v="14"/>
    <x v="542"/>
    <s v="In Your Eyes"/>
  </r>
  <r>
    <x v="21"/>
    <x v="49"/>
    <x v="1"/>
    <x v="139"/>
    <s v="1 (25)"/>
    <n v="3"/>
    <x v="543"/>
    <s v="Rock 'n' Roll Kids"/>
  </r>
  <r>
    <x v="21"/>
    <x v="50"/>
    <x v="1"/>
    <x v="114"/>
    <s v="14 (23)"/>
    <n v="2"/>
    <x v="544"/>
    <s v="Dreamin'"/>
  </r>
  <r>
    <x v="21"/>
    <x v="51"/>
    <x v="1"/>
    <x v="183"/>
    <s v="1 (23)"/>
    <n v="17"/>
    <x v="545"/>
    <s v="The Voice"/>
  </r>
  <r>
    <x v="21"/>
    <x v="52"/>
    <x v="1"/>
    <x v="104"/>
    <s v="2 (25)"/>
    <n v="5"/>
    <x v="546"/>
    <s v="Mysterious Woman"/>
  </r>
  <r>
    <x v="21"/>
    <x v="63"/>
    <x v="1"/>
    <x v="41"/>
    <s v="9 (25)"/>
    <n v="13"/>
    <x v="547"/>
    <s v="Is Always Over Now?"/>
  </r>
  <r>
    <x v="21"/>
    <x v="53"/>
    <x v="1"/>
    <x v="71"/>
    <s v="17 (23)"/>
    <n v="17"/>
    <x v="548"/>
    <s v="When You Need Me"/>
  </r>
  <r>
    <x v="21"/>
    <x v="54"/>
    <x v="1"/>
    <x v="13"/>
    <s v="6 (24)"/>
    <n v="23"/>
    <x v="549"/>
    <s v="Millennium Of Love"/>
  </r>
  <r>
    <x v="21"/>
    <x v="64"/>
    <x v="1"/>
    <x v="29"/>
    <s v="21 (23)"/>
    <n v="12"/>
    <x v="550"/>
    <s v="Without Your Love"/>
  </r>
  <r>
    <x v="21"/>
    <x v="56"/>
    <x v="1"/>
    <x v="1"/>
    <s v="11 (26)"/>
    <n v="3"/>
    <x v="551"/>
    <s v="We've Got The World"/>
  </r>
  <r>
    <x v="21"/>
    <x v="0"/>
    <x v="0"/>
    <x v="81"/>
    <s v="22 (24)"/>
    <n v="18"/>
    <x v="552"/>
    <s v="If My World Stopped Turning"/>
  </r>
  <r>
    <x v="21"/>
    <x v="10"/>
    <x v="0"/>
    <x v="58"/>
    <s v="10 (24)"/>
    <n v="21"/>
    <x v="553"/>
    <s v="Every Song Is A Cry For Love"/>
  </r>
  <r>
    <x v="21"/>
    <x v="11"/>
    <x v="0"/>
    <x v="40"/>
    <s v="24 (24)"/>
    <n v="4"/>
    <x v="554"/>
    <s v="They Can't Stop The Spring"/>
  </r>
  <r>
    <x v="21"/>
    <x v="4"/>
    <x v="0"/>
    <x v="130"/>
    <s v="23 (25)"/>
    <n v="10"/>
    <x v="542"/>
    <s v="It's For You"/>
  </r>
  <r>
    <x v="21"/>
    <x v="57"/>
    <x v="0"/>
    <x v="151"/>
    <s v="8 (25)"/>
    <n v="6"/>
    <x v="555"/>
    <s v="Lipstick"/>
  </r>
  <r>
    <x v="21"/>
    <x v="5"/>
    <x v="0"/>
    <x v="84"/>
    <s v="19 (26)"/>
    <n v="23"/>
    <x v="555"/>
    <s v="Waterline"/>
  </r>
  <r>
    <x v="21"/>
    <x v="12"/>
    <x v="0"/>
    <x v="40"/>
    <s v="26 (26)"/>
    <n v="26"/>
    <x v="556"/>
    <s v="Only Love Survives"/>
  </r>
  <r>
    <x v="21"/>
    <x v="7"/>
    <x v="0"/>
    <x v="150"/>
    <s v="16 (26)"/>
    <n v="24"/>
    <x v="557"/>
    <s v="Together"/>
  </r>
  <r>
    <x v="22"/>
    <x v="60"/>
    <x v="1"/>
    <x v="45"/>
    <s v="4 (17)"/>
    <n v="17"/>
    <x v="558"/>
    <s v="Ey-sham"/>
  </r>
  <r>
    <x v="22"/>
    <x v="61"/>
    <x v="1"/>
    <x v="33"/>
    <s v="7 (17)"/>
    <n v="6"/>
    <x v="559"/>
    <s v="Natati La Khaiai"/>
  </r>
  <r>
    <x v="22"/>
    <x v="62"/>
    <x v="1"/>
    <x v="77"/>
    <s v="11 (19)"/>
    <n v="12"/>
    <x v="560"/>
    <s v="At Ve'ani"/>
  </r>
  <r>
    <x v="22"/>
    <x v="31"/>
    <x v="1"/>
    <x v="131"/>
    <s v="6 (18)"/>
    <n v="4"/>
    <x v="561"/>
    <s v="Emor Shalom"/>
  </r>
  <r>
    <x v="22"/>
    <x v="32"/>
    <x v="1"/>
    <x v="67"/>
    <s v="11 (18)"/>
    <n v="11"/>
    <x v="558"/>
    <s v="Ah-haa-vah Hee Shir Lish-naa-yim"/>
  </r>
  <r>
    <x v="22"/>
    <x v="33"/>
    <x v="1"/>
    <x v="104"/>
    <s v="1 (20)"/>
    <n v="18"/>
    <x v="562"/>
    <s v="Abanibi"/>
  </r>
  <r>
    <x v="22"/>
    <x v="34"/>
    <x v="1"/>
    <x v="25"/>
    <s v="1 (19)"/>
    <n v="10"/>
    <x v="563"/>
    <s v="Hallelujah"/>
  </r>
  <r>
    <x v="22"/>
    <x v="36"/>
    <x v="1"/>
    <x v="83"/>
    <s v="7 (20)"/>
    <n v="5"/>
    <x v="564"/>
    <s v="Halaylah"/>
  </r>
  <r>
    <x v="22"/>
    <x v="37"/>
    <x v="1"/>
    <x v="37"/>
    <s v="2 (18)"/>
    <n v="15"/>
    <x v="565"/>
    <s v="Hora"/>
  </r>
  <r>
    <x v="22"/>
    <x v="38"/>
    <x v="1"/>
    <x v="150"/>
    <s v="2 (20)"/>
    <n v="16"/>
    <x v="566"/>
    <s v="Hi"/>
  </r>
  <r>
    <x v="22"/>
    <x v="40"/>
    <x v="1"/>
    <x v="58"/>
    <s v="5 (19)"/>
    <n v="11"/>
    <x v="567"/>
    <s v="Olй Olй"/>
  </r>
  <r>
    <x v="22"/>
    <x v="41"/>
    <x v="1"/>
    <x v="81"/>
    <s v="19 (20)"/>
    <n v="11"/>
    <x v="568"/>
    <s v="Yavoh Yom"/>
  </r>
  <r>
    <x v="22"/>
    <x v="42"/>
    <x v="1"/>
    <x v="118"/>
    <s v="8 (22)"/>
    <n v="2"/>
    <x v="569"/>
    <s v="Shir Habatlanim"/>
  </r>
  <r>
    <x v="22"/>
    <x v="43"/>
    <x v="1"/>
    <x v="120"/>
    <s v="7 (21)"/>
    <n v="8"/>
    <x v="570"/>
    <s v="Ben Adam"/>
  </r>
  <r>
    <x v="22"/>
    <x v="44"/>
    <x v="1"/>
    <x v="115"/>
    <s v="12 (22)"/>
    <n v="2"/>
    <x v="571"/>
    <s v="Derech Ha'melech"/>
  </r>
  <r>
    <x v="22"/>
    <x v="45"/>
    <x v="1"/>
    <x v="32"/>
    <s v="18 (22)"/>
    <n v="10"/>
    <x v="572"/>
    <s v="Shara Barechovot"/>
  </r>
  <r>
    <x v="22"/>
    <x v="46"/>
    <x v="1"/>
    <x v="168"/>
    <s v="3 (22)"/>
    <n v="15"/>
    <x v="573"/>
    <s v="Kan"/>
  </r>
  <r>
    <x v="22"/>
    <x v="47"/>
    <x v="1"/>
    <x v="120"/>
    <s v="6 (23)"/>
    <n v="3"/>
    <x v="574"/>
    <s v="Ze Rak Sport"/>
  </r>
  <r>
    <x v="22"/>
    <x v="48"/>
    <x v="1"/>
    <x v="28"/>
    <s v="24 (25)"/>
    <n v="24"/>
    <x v="575"/>
    <s v="Shiru"/>
  </r>
  <r>
    <x v="22"/>
    <x v="50"/>
    <x v="1"/>
    <x v="148"/>
    <s v="8 (23)"/>
    <n v="21"/>
    <x v="576"/>
    <s v="Amen"/>
  </r>
  <r>
    <x v="22"/>
    <x v="63"/>
    <x v="1"/>
    <x v="180"/>
    <s v="1 (25)"/>
    <n v="8"/>
    <x v="577"/>
    <s v="Diva"/>
  </r>
  <r>
    <x v="22"/>
    <x v="53"/>
    <x v="1"/>
    <x v="58"/>
    <s v="5 (23)"/>
    <n v="19"/>
    <x v="578"/>
    <s v="Yom Huledeth"/>
  </r>
  <r>
    <x v="22"/>
    <x v="54"/>
    <x v="1"/>
    <x v="81"/>
    <s v="22 (24)"/>
    <n v="1"/>
    <x v="579"/>
    <s v="Sa'me'akh"/>
  </r>
  <r>
    <x v="22"/>
    <x v="64"/>
    <x v="1"/>
    <x v="130"/>
    <s v="16 (23)"/>
    <n v="5"/>
    <x v="580"/>
    <s v="Ein Davar"/>
  </r>
  <r>
    <x v="22"/>
    <x v="55"/>
    <x v="1"/>
    <x v="124"/>
    <s v="12 (24)"/>
    <n v="10"/>
    <x v="581"/>
    <s v="Light A Candle"/>
  </r>
  <r>
    <x v="22"/>
    <x v="56"/>
    <x v="1"/>
    <x v="75"/>
    <s v="19 (26)"/>
    <n v="13"/>
    <x v="582"/>
    <s v="Words For Love"/>
  </r>
  <r>
    <x v="22"/>
    <x v="1"/>
    <x v="0"/>
    <x v="184"/>
    <s v="4 (24)"/>
    <n v="11"/>
    <x v="583"/>
    <s v="Hasheket Shenish'ar"/>
  </r>
  <r>
    <x v="22"/>
    <x v="10"/>
    <x v="0"/>
    <x v="28"/>
    <s v="23 (24)"/>
    <n v="3"/>
    <x v="584"/>
    <s v="Ze Hazman"/>
  </r>
  <r>
    <x v="22"/>
    <x v="2"/>
    <x v="0"/>
    <x v="175"/>
    <s v="9 (25)"/>
    <n v="7"/>
    <x v="585"/>
    <s v="The Fire In Your Eyes"/>
  </r>
  <r>
    <x v="22"/>
    <x v="3"/>
    <x v="0"/>
    <x v="1"/>
    <s v="16 (25)"/>
    <n v="2"/>
    <x v="586"/>
    <s v="There Must Be Another Way"/>
  </r>
  <r>
    <x v="22"/>
    <x v="4"/>
    <x v="0"/>
    <x v="91"/>
    <s v="14 (25)"/>
    <n v="24"/>
    <x v="587"/>
    <s v="Milim"/>
  </r>
  <r>
    <x v="22"/>
    <x v="6"/>
    <x v="0"/>
    <x v="45"/>
    <s v="9 (27)"/>
    <n v="3"/>
    <x v="588"/>
    <s v="Golden Boy"/>
  </r>
  <r>
    <x v="22"/>
    <x v="14"/>
    <x v="0"/>
    <x v="158"/>
    <s v="14 (26)"/>
    <n v="7"/>
    <x v="589"/>
    <s v="Made Of Stars"/>
  </r>
  <r>
    <x v="22"/>
    <x v="15"/>
    <x v="0"/>
    <x v="97"/>
    <s v="23 (26)"/>
    <n v="1"/>
    <x v="590"/>
    <s v="I Feel Alive"/>
  </r>
  <r>
    <x v="22"/>
    <x v="7"/>
    <x v="0"/>
    <x v="185"/>
    <s v="1 (26)"/>
    <n v="22"/>
    <x v="591"/>
    <s v="TOY"/>
  </r>
  <r>
    <x v="22"/>
    <x v="8"/>
    <x v="0"/>
    <x v="146"/>
    <s v="23 (26)"/>
    <n v="14"/>
    <x v="592"/>
    <s v="Home"/>
  </r>
  <r>
    <x v="22"/>
    <x v="9"/>
    <x v="0"/>
    <x v="58"/>
    <s v="17 (26)"/>
    <n v="3"/>
    <x v="593"/>
    <s v="Set Me Free"/>
  </r>
  <r>
    <x v="23"/>
    <x v="17"/>
    <x v="1"/>
    <x v="81"/>
    <s v="6 (10)"/>
    <n v="4"/>
    <x v="594"/>
    <s v="Corde Della Mia Chitarra"/>
  </r>
  <r>
    <x v="23"/>
    <x v="18"/>
    <x v="1"/>
    <x v="79"/>
    <s v="3 (10)"/>
    <n v="1"/>
    <x v="595"/>
    <s v="Nel Blu Dipinto Di Blu"/>
  </r>
  <r>
    <x v="23"/>
    <x v="19"/>
    <x v="1"/>
    <x v="55"/>
    <s v="6 (11)"/>
    <n v="3"/>
    <x v="595"/>
    <s v="Piove"/>
  </r>
  <r>
    <x v="23"/>
    <x v="20"/>
    <x v="1"/>
    <x v="40"/>
    <s v="8 (13)"/>
    <n v="12"/>
    <x v="596"/>
    <s v="Romantica"/>
  </r>
  <r>
    <x v="23"/>
    <x v="21"/>
    <x v="1"/>
    <x v="44"/>
    <s v="5 (16)"/>
    <n v="16"/>
    <x v="597"/>
    <s v="Al Di Lа"/>
  </r>
  <r>
    <x v="23"/>
    <x v="22"/>
    <x v="1"/>
    <x v="26"/>
    <s v="9 (16)"/>
    <n v="15"/>
    <x v="598"/>
    <s v="Addio, Addio"/>
  </r>
  <r>
    <x v="23"/>
    <x v="23"/>
    <x v="1"/>
    <x v="124"/>
    <s v="3 (16)"/>
    <n v="6"/>
    <x v="599"/>
    <s v="Uno Per Tutte"/>
  </r>
  <r>
    <x v="23"/>
    <x v="24"/>
    <x v="1"/>
    <x v="67"/>
    <s v="1 (16)"/>
    <n v="12"/>
    <x v="600"/>
    <s v="Non Ho L'йtа"/>
  </r>
  <r>
    <x v="23"/>
    <x v="25"/>
    <x v="1"/>
    <x v="121"/>
    <s v="5 (18)"/>
    <n v="13"/>
    <x v="601"/>
    <s v="Se Piangi, Se Ridi"/>
  </r>
  <r>
    <x v="23"/>
    <x v="26"/>
    <x v="1"/>
    <x v="31"/>
    <s v="17 (18)"/>
    <n v="14"/>
    <x v="595"/>
    <s v="Dio Come Ti Amo"/>
  </r>
  <r>
    <x v="23"/>
    <x v="27"/>
    <x v="1"/>
    <x v="28"/>
    <s v="11 (17)"/>
    <n v="16"/>
    <x v="598"/>
    <s v="Non Andare Piщ Lontano"/>
  </r>
  <r>
    <x v="23"/>
    <x v="28"/>
    <x v="1"/>
    <x v="81"/>
    <s v="10 (17)"/>
    <n v="11"/>
    <x v="602"/>
    <s v="Marianne"/>
  </r>
  <r>
    <x v="23"/>
    <x v="58"/>
    <x v="1"/>
    <x v="40"/>
    <s v="13 (16)"/>
    <n v="6"/>
    <x v="603"/>
    <s v="Due Grosse Lacrime Bianche"/>
  </r>
  <r>
    <x v="23"/>
    <x v="59"/>
    <x v="1"/>
    <x v="40"/>
    <s v="8 (12)"/>
    <n v="3"/>
    <x v="604"/>
    <s v="Occhi Di Ragazza"/>
  </r>
  <r>
    <x v="23"/>
    <x v="29"/>
    <x v="1"/>
    <x v="100"/>
    <s v="5 (18)"/>
    <n v="11"/>
    <x v="605"/>
    <s v="L'amore и Un Attimo"/>
  </r>
  <r>
    <x v="23"/>
    <x v="30"/>
    <x v="1"/>
    <x v="13"/>
    <s v="6 (18)"/>
    <n v="12"/>
    <x v="606"/>
    <s v="I Giorni Dell' Arcobaleno"/>
  </r>
  <r>
    <x v="23"/>
    <x v="60"/>
    <x v="1"/>
    <x v="95"/>
    <s v="13 (17)"/>
    <n v="10"/>
    <x v="605"/>
    <s v="Chi Sarа Con Te"/>
  </r>
  <r>
    <x v="23"/>
    <x v="61"/>
    <x v="1"/>
    <x v="71"/>
    <s v="2 (17)"/>
    <n v="17"/>
    <x v="600"/>
    <s v="Si"/>
  </r>
  <r>
    <x v="23"/>
    <x v="62"/>
    <x v="1"/>
    <x v="116"/>
    <s v="3 (19)"/>
    <n v="19"/>
    <x v="607"/>
    <s v="Era"/>
  </r>
  <r>
    <x v="23"/>
    <x v="31"/>
    <x v="1"/>
    <x v="76"/>
    <s v="7 (18)"/>
    <n v="13"/>
    <x v="608"/>
    <s v="We'll Live It All Again"/>
  </r>
  <r>
    <x v="23"/>
    <x v="32"/>
    <x v="1"/>
    <x v="66"/>
    <s v="13 (18)"/>
    <n v="15"/>
    <x v="609"/>
    <s v="Liberа"/>
  </r>
  <r>
    <x v="23"/>
    <x v="33"/>
    <x v="1"/>
    <x v="1"/>
    <s v="12 (20)"/>
    <n v="3"/>
    <x v="610"/>
    <s v="Questo Amore"/>
  </r>
  <r>
    <x v="23"/>
    <x v="34"/>
    <x v="1"/>
    <x v="96"/>
    <s v="15 (19)"/>
    <n v="2"/>
    <x v="611"/>
    <s v="Raggio Di Luna"/>
  </r>
  <r>
    <x v="23"/>
    <x v="35"/>
    <x v="1"/>
    <x v="186"/>
    <s v="6 (19)"/>
    <n v="6"/>
    <x v="612"/>
    <s v="Non So Che Darei"/>
  </r>
  <r>
    <x v="23"/>
    <x v="38"/>
    <x v="1"/>
    <x v="15"/>
    <s v="11 (20)"/>
    <n v="5"/>
    <x v="613"/>
    <s v="Per Lucia"/>
  </r>
  <r>
    <x v="23"/>
    <x v="39"/>
    <x v="1"/>
    <x v="80"/>
    <s v="5 (19)"/>
    <n v="18"/>
    <x v="614"/>
    <s v="I Treni Di Tozeur"/>
  </r>
  <r>
    <x v="23"/>
    <x v="40"/>
    <x v="1"/>
    <x v="144"/>
    <s v="7 (19)"/>
    <n v="12"/>
    <x v="615"/>
    <s v="Magic, Oh Magic"/>
  </r>
  <r>
    <x v="23"/>
    <x v="42"/>
    <x v="1"/>
    <x v="187"/>
    <s v="3 (22)"/>
    <n v="7"/>
    <x v="616"/>
    <s v="Gente Di Mare"/>
  </r>
  <r>
    <x v="23"/>
    <x v="43"/>
    <x v="1"/>
    <x v="188"/>
    <s v="12 (21)"/>
    <n v="18"/>
    <x v="617"/>
    <s v="Ti Scrivo"/>
  </r>
  <r>
    <x v="23"/>
    <x v="44"/>
    <x v="1"/>
    <x v="83"/>
    <s v="9 (22)"/>
    <n v="1"/>
    <x v="618"/>
    <s v="Avrei Voluto"/>
  </r>
  <r>
    <x v="23"/>
    <x v="45"/>
    <x v="1"/>
    <x v="136"/>
    <s v="1 (22)"/>
    <n v="19"/>
    <x v="619"/>
    <s v="Insieme: 1992"/>
  </r>
  <r>
    <x v="23"/>
    <x v="46"/>
    <x v="1"/>
    <x v="189"/>
    <s v="7 (22)"/>
    <n v="22"/>
    <x v="620"/>
    <s v="Comme E' Ddoce 'o Mare"/>
  </r>
  <r>
    <x v="23"/>
    <x v="47"/>
    <x v="1"/>
    <x v="132"/>
    <s v="4 (23)"/>
    <n v="19"/>
    <x v="609"/>
    <s v="Rapsodia"/>
  </r>
  <r>
    <x v="23"/>
    <x v="48"/>
    <x v="1"/>
    <x v="117"/>
    <s v="12 (25)"/>
    <n v="1"/>
    <x v="621"/>
    <s v="Sole D'europa"/>
  </r>
  <r>
    <x v="23"/>
    <x v="52"/>
    <x v="1"/>
    <x v="190"/>
    <s v="4 (25)"/>
    <n v="9"/>
    <x v="622"/>
    <s v="Fiumi Di Parole"/>
  </r>
  <r>
    <x v="23"/>
    <x v="57"/>
    <x v="0"/>
    <x v="191"/>
    <s v="2 (25)"/>
    <n v="12"/>
    <x v="623"/>
    <s v="Madness Of Love"/>
  </r>
  <r>
    <x v="23"/>
    <x v="5"/>
    <x v="0"/>
    <x v="54"/>
    <s v="9 (26)"/>
    <n v="10"/>
    <x v="624"/>
    <s v="L'Amore И Femmina (Out Of Love)"/>
  </r>
  <r>
    <x v="23"/>
    <x v="12"/>
    <x v="0"/>
    <x v="192"/>
    <s v="7 (26)"/>
    <n v="23"/>
    <x v="625"/>
    <s v="L'Essenziale"/>
  </r>
  <r>
    <x v="23"/>
    <x v="13"/>
    <x v="0"/>
    <x v="66"/>
    <s v="21 (26)"/>
    <n v="16"/>
    <x v="626"/>
    <s v="La Mia Cittа"/>
  </r>
  <r>
    <x v="23"/>
    <x v="6"/>
    <x v="0"/>
    <x v="145"/>
    <s v="3 (27)"/>
    <n v="27"/>
    <x v="627"/>
    <s v="Grande Amore"/>
  </r>
  <r>
    <x v="23"/>
    <x v="14"/>
    <x v="0"/>
    <x v="175"/>
    <s v="16 (26)"/>
    <n v="6"/>
    <x v="628"/>
    <s v="No Degree Of Separation"/>
  </r>
  <r>
    <x v="23"/>
    <x v="15"/>
    <x v="0"/>
    <x v="193"/>
    <s v="6 (26)"/>
    <n v="9"/>
    <x v="629"/>
    <s v="Occidentali's Karma"/>
  </r>
  <r>
    <x v="23"/>
    <x v="7"/>
    <x v="0"/>
    <x v="194"/>
    <s v="5 (26)"/>
    <n v="26"/>
    <x v="630"/>
    <s v="Non Mi Avete Fatto Niente"/>
  </r>
  <r>
    <x v="23"/>
    <x v="8"/>
    <x v="0"/>
    <x v="195"/>
    <s v="2 (26)"/>
    <n v="22"/>
    <x v="631"/>
    <s v="Soldi"/>
  </r>
  <r>
    <x v="23"/>
    <x v="9"/>
    <x v="0"/>
    <x v="196"/>
    <s v="1 (26)"/>
    <n v="24"/>
    <x v="632"/>
    <s v="Zitti E Buoni"/>
  </r>
  <r>
    <x v="23"/>
    <x v="16"/>
    <x v="0"/>
    <x v="197"/>
    <s v="6 (25)"/>
    <n v="9"/>
    <x v="633"/>
    <s v="Brividi"/>
  </r>
  <r>
    <x v="24"/>
    <x v="54"/>
    <x v="1"/>
    <x v="150"/>
    <s v="3 (24)"/>
    <n v="21"/>
    <x v="634"/>
    <s v="My Star"/>
  </r>
  <r>
    <x v="24"/>
    <x v="64"/>
    <x v="1"/>
    <x v="32"/>
    <s v="18 (23)"/>
    <n v="9"/>
    <x v="635"/>
    <s v="Too Much"/>
  </r>
  <r>
    <x v="24"/>
    <x v="55"/>
    <x v="1"/>
    <x v="82"/>
    <s v="1 (24)"/>
    <n v="23"/>
    <x v="636"/>
    <s v="I Wanna"/>
  </r>
  <r>
    <x v="24"/>
    <x v="56"/>
    <x v="1"/>
    <x v="40"/>
    <s v="24 (26)"/>
    <n v="21"/>
    <x v="637"/>
    <s v="Hello From Mars"/>
  </r>
  <r>
    <x v="24"/>
    <x v="1"/>
    <x v="0"/>
    <x v="198"/>
    <s v="5 (24)"/>
    <n v="23"/>
    <x v="638"/>
    <s v="The War Is Not Over"/>
  </r>
  <r>
    <x v="24"/>
    <x v="10"/>
    <x v="0"/>
    <x v="165"/>
    <s v="16 (24)"/>
    <n v="4"/>
    <x v="639"/>
    <s v="I Hear Your Heart"/>
  </r>
  <r>
    <x v="24"/>
    <x v="11"/>
    <x v="0"/>
    <x v="178"/>
    <s v="16 (24)"/>
    <n v="14"/>
    <x v="640"/>
    <s v="Questa Notte"/>
  </r>
  <r>
    <x v="24"/>
    <x v="2"/>
    <x v="0"/>
    <x v="73"/>
    <s v="12 (25)"/>
    <n v="14"/>
    <x v="641"/>
    <s v="Wolves Of The Sea"/>
  </r>
  <r>
    <x v="24"/>
    <x v="6"/>
    <x v="0"/>
    <x v="199"/>
    <s v="6 (27)"/>
    <n v="19"/>
    <x v="642"/>
    <s v="Love Injected"/>
  </r>
  <r>
    <x v="24"/>
    <x v="14"/>
    <x v="0"/>
    <x v="60"/>
    <s v="15 (26)"/>
    <n v="20"/>
    <x v="643"/>
    <s v="Heartbeat"/>
  </r>
  <r>
    <x v="25"/>
    <x v="49"/>
    <x v="1"/>
    <x v="31"/>
    <s v="25 (25)"/>
    <n v="16"/>
    <x v="644"/>
    <s v="Lopsine Mylimai"/>
  </r>
  <r>
    <x v="25"/>
    <x v="53"/>
    <x v="1"/>
    <x v="79"/>
    <s v="20 (23)"/>
    <n v="1"/>
    <x v="645"/>
    <s v="Strazdas"/>
  </r>
  <r>
    <x v="25"/>
    <x v="64"/>
    <x v="1"/>
    <x v="146"/>
    <s v="13 (23)"/>
    <n v="8"/>
    <x v="646"/>
    <s v="You Got Style"/>
  </r>
  <r>
    <x v="25"/>
    <x v="55"/>
    <x v="1"/>
    <x v="44"/>
    <s v="23 (24)"/>
    <n v="24"/>
    <x v="647"/>
    <s v="Happy You"/>
  </r>
  <r>
    <x v="25"/>
    <x v="10"/>
    <x v="0"/>
    <x v="183"/>
    <s v="6 (24)"/>
    <n v="14"/>
    <x v="648"/>
    <s v="We Are The Winners"/>
  </r>
  <r>
    <x v="25"/>
    <x v="11"/>
    <x v="0"/>
    <x v="174"/>
    <s v="21 (24)"/>
    <n v="9"/>
    <x v="649"/>
    <s v="Love Or Leave"/>
  </r>
  <r>
    <x v="25"/>
    <x v="3"/>
    <x v="0"/>
    <x v="85"/>
    <s v="23 (25)"/>
    <n v="1"/>
    <x v="650"/>
    <s v="Love"/>
  </r>
  <r>
    <x v="25"/>
    <x v="57"/>
    <x v="0"/>
    <x v="47"/>
    <s v="19 (25)"/>
    <n v="4"/>
    <x v="651"/>
    <s v="C'est Ma Vie"/>
  </r>
  <r>
    <x v="25"/>
    <x v="5"/>
    <x v="0"/>
    <x v="80"/>
    <s v="14 (26)"/>
    <n v="4"/>
    <x v="652"/>
    <s v="Love Is Blind"/>
  </r>
  <r>
    <x v="25"/>
    <x v="12"/>
    <x v="0"/>
    <x v="75"/>
    <s v="22 (26)"/>
    <n v="2"/>
    <x v="653"/>
    <s v="Something"/>
  </r>
  <r>
    <x v="25"/>
    <x v="6"/>
    <x v="0"/>
    <x v="165"/>
    <s v="18 (27)"/>
    <n v="7"/>
    <x v="654"/>
    <s v="This Time"/>
  </r>
  <r>
    <x v="25"/>
    <x v="14"/>
    <x v="0"/>
    <x v="173"/>
    <s v="9 (26)"/>
    <n v="16"/>
    <x v="652"/>
    <s v="I've Been Waiting For This Night"/>
  </r>
  <r>
    <x v="25"/>
    <x v="7"/>
    <x v="0"/>
    <x v="93"/>
    <s v="12 (26)"/>
    <n v="4"/>
    <x v="655"/>
    <s v="When We're Old"/>
  </r>
  <r>
    <x v="25"/>
    <x v="9"/>
    <x v="0"/>
    <x v="200"/>
    <s v="8 (26)"/>
    <n v="18"/>
    <x v="656"/>
    <s v="Discoteque"/>
  </r>
  <r>
    <x v="25"/>
    <x v="16"/>
    <x v="0"/>
    <x v="119"/>
    <s v="14 (25)"/>
    <n v="14"/>
    <x v="657"/>
    <s v="Sentimentai"/>
  </r>
  <r>
    <x v="26"/>
    <x v="17"/>
    <x v="1"/>
    <x v="27"/>
    <s v="4 (10)"/>
    <n v="2"/>
    <x v="658"/>
    <s v="Tant De Peine"/>
  </r>
  <r>
    <x v="26"/>
    <x v="18"/>
    <x v="1"/>
    <x v="30"/>
    <s v="9 (10)"/>
    <n v="4"/>
    <x v="659"/>
    <s v="Un Grand Amour"/>
  </r>
  <r>
    <x v="26"/>
    <x v="20"/>
    <x v="1"/>
    <x v="30"/>
    <s v="13 (13)"/>
    <n v="3"/>
    <x v="660"/>
    <s v="So Laang We's Du Do Bast"/>
  </r>
  <r>
    <x v="26"/>
    <x v="21"/>
    <x v="1"/>
    <x v="34"/>
    <s v="1 (16)"/>
    <n v="14"/>
    <x v="661"/>
    <s v="Nous Les Amoureux"/>
  </r>
  <r>
    <x v="26"/>
    <x v="22"/>
    <x v="1"/>
    <x v="33"/>
    <s v="3 (16)"/>
    <n v="14"/>
    <x v="660"/>
    <s v="Petit Bonhomme"/>
  </r>
  <r>
    <x v="26"/>
    <x v="23"/>
    <x v="1"/>
    <x v="79"/>
    <s v="8 (16)"/>
    <n v="16"/>
    <x v="662"/>
    <s v="A Force De Prier"/>
  </r>
  <r>
    <x v="26"/>
    <x v="24"/>
    <x v="1"/>
    <x v="39"/>
    <s v="4 (16)"/>
    <n v="1"/>
    <x v="663"/>
    <s v="Dиs Que Le Printemps Revient"/>
  </r>
  <r>
    <x v="26"/>
    <x v="25"/>
    <x v="1"/>
    <x v="48"/>
    <s v="1 (18)"/>
    <n v="15"/>
    <x v="664"/>
    <s v="Poupйe De Cire, Poupйe De Son"/>
  </r>
  <r>
    <x v="26"/>
    <x v="26"/>
    <x v="1"/>
    <x v="81"/>
    <s v="10 (18)"/>
    <n v="4"/>
    <x v="665"/>
    <s v="Ce Soir Je T'attendais"/>
  </r>
  <r>
    <x v="26"/>
    <x v="27"/>
    <x v="1"/>
    <x v="75"/>
    <s v="4 (17)"/>
    <n v="2"/>
    <x v="666"/>
    <s v="L'amour Est Bleu"/>
  </r>
  <r>
    <x v="26"/>
    <x v="28"/>
    <x v="1"/>
    <x v="40"/>
    <s v="11 (17)"/>
    <n v="5"/>
    <x v="667"/>
    <s v="Nous Vivrons D'amour"/>
  </r>
  <r>
    <x v="26"/>
    <x v="58"/>
    <x v="1"/>
    <x v="81"/>
    <s v="11 (16)"/>
    <n v="2"/>
    <x v="668"/>
    <s v="Cathйrine"/>
  </r>
  <r>
    <x v="26"/>
    <x v="59"/>
    <x v="1"/>
    <x v="31"/>
    <s v="12 (12)"/>
    <n v="8"/>
    <x v="669"/>
    <s v="Je Suis Tombй Du Ciel"/>
  </r>
  <r>
    <x v="26"/>
    <x v="29"/>
    <x v="1"/>
    <x v="80"/>
    <s v="13 (18)"/>
    <n v="8"/>
    <x v="670"/>
    <s v="Pomme, Pomme, Pomme"/>
  </r>
  <r>
    <x v="26"/>
    <x v="30"/>
    <x v="1"/>
    <x v="119"/>
    <s v="1 (18)"/>
    <n v="17"/>
    <x v="671"/>
    <s v="Aprиs Toi"/>
  </r>
  <r>
    <x v="26"/>
    <x v="60"/>
    <x v="1"/>
    <x v="10"/>
    <s v="1 (17)"/>
    <n v="11"/>
    <x v="334"/>
    <s v="Tu Te Reconnaоtras"/>
  </r>
  <r>
    <x v="26"/>
    <x v="61"/>
    <x v="1"/>
    <x v="39"/>
    <s v="4 (17)"/>
    <n v="9"/>
    <x v="401"/>
    <s v="Bye, Bye, I Love You"/>
  </r>
  <r>
    <x v="26"/>
    <x v="62"/>
    <x v="1"/>
    <x v="143"/>
    <s v="5 (19)"/>
    <n v="5"/>
    <x v="672"/>
    <s v="Toi"/>
  </r>
  <r>
    <x v="26"/>
    <x v="31"/>
    <x v="1"/>
    <x v="75"/>
    <s v="14 (18)"/>
    <n v="5"/>
    <x v="673"/>
    <s v="Chansons Pour Ceux Qui S'aiment"/>
  </r>
  <r>
    <x v="26"/>
    <x v="32"/>
    <x v="1"/>
    <x v="75"/>
    <s v="16 (18)"/>
    <n v="7"/>
    <x v="674"/>
    <s v="Frиre Jacques"/>
  </r>
  <r>
    <x v="26"/>
    <x v="33"/>
    <x v="1"/>
    <x v="118"/>
    <s v="7 (20)"/>
    <n v="17"/>
    <x v="675"/>
    <s v="Parlez-vous Franзais?"/>
  </r>
  <r>
    <x v="26"/>
    <x v="34"/>
    <x v="1"/>
    <x v="114"/>
    <s v="13 (19)"/>
    <n v="13"/>
    <x v="676"/>
    <s v="J'ai Dйjа Vu зa Dans Tes Yeux"/>
  </r>
  <r>
    <x v="26"/>
    <x v="35"/>
    <x v="1"/>
    <x v="83"/>
    <s v="9 (19)"/>
    <n v="4"/>
    <x v="677"/>
    <s v="Papa Pingouin"/>
  </r>
  <r>
    <x v="26"/>
    <x v="36"/>
    <x v="1"/>
    <x v="15"/>
    <s v="11 (20)"/>
    <n v="4"/>
    <x v="661"/>
    <s v="C'est Peut-кtre Pas L'amйrique"/>
  </r>
  <r>
    <x v="26"/>
    <x v="37"/>
    <x v="1"/>
    <x v="144"/>
    <s v="6 (18)"/>
    <n v="2"/>
    <x v="678"/>
    <s v="Cours Aprиs Le Temps"/>
  </r>
  <r>
    <x v="26"/>
    <x v="38"/>
    <x v="1"/>
    <x v="154"/>
    <s v="1 (20)"/>
    <n v="20"/>
    <x v="679"/>
    <s v="Si La Vie Est Cadeau"/>
  </r>
  <r>
    <x v="26"/>
    <x v="39"/>
    <x v="1"/>
    <x v="97"/>
    <s v="10 (19)"/>
    <n v="2"/>
    <x v="680"/>
    <s v="100% D'amour"/>
  </r>
  <r>
    <x v="26"/>
    <x v="40"/>
    <x v="1"/>
    <x v="124"/>
    <s v="13 (19)"/>
    <n v="18"/>
    <x v="681"/>
    <s v="Children, Kinder, Enfants"/>
  </r>
  <r>
    <x v="26"/>
    <x v="41"/>
    <x v="1"/>
    <x v="68"/>
    <s v="3 (20)"/>
    <n v="1"/>
    <x v="682"/>
    <s v="L'amour De Ma Vie"/>
  </r>
  <r>
    <x v="26"/>
    <x v="42"/>
    <x v="1"/>
    <x v="28"/>
    <s v="21 (22)"/>
    <n v="13"/>
    <x v="683"/>
    <s v="Amour Amour"/>
  </r>
  <r>
    <x v="26"/>
    <x v="43"/>
    <x v="1"/>
    <x v="8"/>
    <s v="4 (21)"/>
    <n v="17"/>
    <x v="684"/>
    <s v="Croire"/>
  </r>
  <r>
    <x v="26"/>
    <x v="44"/>
    <x v="1"/>
    <x v="27"/>
    <s v="20 (22)"/>
    <n v="11"/>
    <x v="685"/>
    <s v="Monsieur"/>
  </r>
  <r>
    <x v="26"/>
    <x v="45"/>
    <x v="1"/>
    <x v="88"/>
    <s v="13 (22)"/>
    <n v="6"/>
    <x v="686"/>
    <s v="Quand Je Te Rкve"/>
  </r>
  <r>
    <x v="26"/>
    <x v="46"/>
    <x v="1"/>
    <x v="99"/>
    <s v="14 (22)"/>
    <n v="7"/>
    <x v="687"/>
    <s v="Un Baiser Volй"/>
  </r>
  <r>
    <x v="26"/>
    <x v="47"/>
    <x v="1"/>
    <x v="74"/>
    <s v="21 (23)"/>
    <n v="14"/>
    <x v="688"/>
    <s v="Sou Frдi"/>
  </r>
  <r>
    <x v="26"/>
    <x v="48"/>
    <x v="1"/>
    <x v="33"/>
    <s v="20 (25)"/>
    <n v="15"/>
    <x v="689"/>
    <s v="Donne-moi Une Chance"/>
  </r>
  <r>
    <x v="27"/>
    <x v="63"/>
    <x v="1"/>
    <x v="32"/>
    <s v="19 (25)"/>
    <n v="25"/>
    <x v="690"/>
    <s v="Ne Zori, Zoro"/>
  </r>
  <r>
    <x v="27"/>
    <x v="54"/>
    <x v="1"/>
    <x v="99"/>
    <s v="15 (24)"/>
    <n v="19"/>
    <x v="691"/>
    <s v="100% Te Ljubam"/>
  </r>
  <r>
    <x v="27"/>
    <x v="55"/>
    <x v="1"/>
    <x v="130"/>
    <s v="19 (24)"/>
    <n v="9"/>
    <x v="692"/>
    <s v="Od Nas Zavisi"/>
  </r>
  <r>
    <x v="27"/>
    <x v="0"/>
    <x v="0"/>
    <x v="133"/>
    <s v="14 (24)"/>
    <n v="15"/>
    <x v="693"/>
    <s v="Life"/>
  </r>
  <r>
    <x v="27"/>
    <x v="1"/>
    <x v="0"/>
    <x v="188"/>
    <s v="17 (24)"/>
    <n v="15"/>
    <x v="694"/>
    <s v="Make My Day"/>
  </r>
  <r>
    <x v="27"/>
    <x v="10"/>
    <x v="0"/>
    <x v="83"/>
    <s v="12 (24)"/>
    <n v="11"/>
    <x v="695"/>
    <s v="Ninanajna"/>
  </r>
  <r>
    <x v="27"/>
    <x v="11"/>
    <x v="0"/>
    <x v="118"/>
    <s v="14 (24)"/>
    <n v="6"/>
    <x v="692"/>
    <s v="Mojot Svet"/>
  </r>
  <r>
    <x v="27"/>
    <x v="5"/>
    <x v="0"/>
    <x v="91"/>
    <s v="13 (26)"/>
    <n v="22"/>
    <x v="696"/>
    <s v="Crno I Belo"/>
  </r>
  <r>
    <x v="27"/>
    <x v="8"/>
    <x v="0"/>
    <x v="201"/>
    <s v="7 (26)"/>
    <n v="8"/>
    <x v="697"/>
    <s v="Proud"/>
  </r>
  <r>
    <x v="28"/>
    <x v="29"/>
    <x v="1"/>
    <x v="188"/>
    <s v="18 (18)"/>
    <n v="2"/>
    <x v="698"/>
    <s v="Marija L-maltija"/>
  </r>
  <r>
    <x v="28"/>
    <x v="30"/>
    <x v="1"/>
    <x v="3"/>
    <s v="18 (18)"/>
    <n v="9"/>
    <x v="699"/>
    <s v="L-imhabba"/>
  </r>
  <r>
    <x v="28"/>
    <x v="62"/>
    <x v="1"/>
    <x v="48"/>
    <s v="12 (19)"/>
    <n v="10"/>
    <x v="700"/>
    <s v="Singing This Song"/>
  </r>
  <r>
    <x v="28"/>
    <x v="46"/>
    <x v="1"/>
    <x v="0"/>
    <s v="6 (22)"/>
    <n v="3"/>
    <x v="701"/>
    <s v="Could It Be"/>
  </r>
  <r>
    <x v="28"/>
    <x v="47"/>
    <x v="1"/>
    <x v="202"/>
    <s v="3 (23)"/>
    <n v="10"/>
    <x v="702"/>
    <s v="Little Child"/>
  </r>
  <r>
    <x v="28"/>
    <x v="48"/>
    <x v="1"/>
    <x v="76"/>
    <s v="8 (25)"/>
    <n v="8"/>
    <x v="703"/>
    <s v="This Time"/>
  </r>
  <r>
    <x v="28"/>
    <x v="49"/>
    <x v="1"/>
    <x v="45"/>
    <s v="5 (25)"/>
    <n v="12"/>
    <x v="704"/>
    <s v="More Than Love"/>
  </r>
  <r>
    <x v="28"/>
    <x v="50"/>
    <x v="1"/>
    <x v="129"/>
    <s v="10 (23)"/>
    <n v="22"/>
    <x v="705"/>
    <s v="Keep Me In Mind"/>
  </r>
  <r>
    <x v="28"/>
    <x v="51"/>
    <x v="1"/>
    <x v="51"/>
    <s v="10 (23)"/>
    <n v="6"/>
    <x v="706"/>
    <s v="In A Woman's Heart"/>
  </r>
  <r>
    <x v="28"/>
    <x v="52"/>
    <x v="1"/>
    <x v="36"/>
    <s v="9 (25)"/>
    <n v="18"/>
    <x v="707"/>
    <s v="Let Me Fly"/>
  </r>
  <r>
    <x v="28"/>
    <x v="63"/>
    <x v="1"/>
    <x v="89"/>
    <s v="3 (25)"/>
    <n v="10"/>
    <x v="708"/>
    <s v="The One That I Love"/>
  </r>
  <r>
    <x v="28"/>
    <x v="53"/>
    <x v="1"/>
    <x v="48"/>
    <s v="15 (23)"/>
    <n v="20"/>
    <x v="709"/>
    <s v="Believe 'n Peace"/>
  </r>
  <r>
    <x v="28"/>
    <x v="54"/>
    <x v="1"/>
    <x v="118"/>
    <s v="8 (24)"/>
    <n v="7"/>
    <x v="710"/>
    <s v="Desire"/>
  </r>
  <r>
    <x v="28"/>
    <x v="64"/>
    <x v="1"/>
    <x v="3"/>
    <s v="9 (23)"/>
    <n v="21"/>
    <x v="711"/>
    <s v="Another Summer Night"/>
  </r>
  <r>
    <x v="28"/>
    <x v="55"/>
    <x v="1"/>
    <x v="203"/>
    <s v="2 (24)"/>
    <n v="20"/>
    <x v="712"/>
    <s v="7th Wonder"/>
  </r>
  <r>
    <x v="28"/>
    <x v="56"/>
    <x v="1"/>
    <x v="28"/>
    <s v="25 (26)"/>
    <n v="5"/>
    <x v="713"/>
    <s v="To Dream Again"/>
  </r>
  <r>
    <x v="28"/>
    <x v="0"/>
    <x v="0"/>
    <x v="115"/>
    <s v="12 (24)"/>
    <n v="6"/>
    <x v="714"/>
    <s v="On Again... Off Again"/>
  </r>
  <r>
    <x v="28"/>
    <x v="1"/>
    <x v="0"/>
    <x v="204"/>
    <s v="2 (24)"/>
    <n v="3"/>
    <x v="708"/>
    <s v="Angel"/>
  </r>
  <r>
    <x v="28"/>
    <x v="10"/>
    <x v="0"/>
    <x v="30"/>
    <s v="24 (24)"/>
    <n v="7"/>
    <x v="711"/>
    <s v="I Do"/>
  </r>
  <r>
    <x v="28"/>
    <x v="3"/>
    <x v="0"/>
    <x v="34"/>
    <s v="22 (25)"/>
    <n v="14"/>
    <x v="708"/>
    <s v="What If We"/>
  </r>
  <r>
    <x v="28"/>
    <x v="5"/>
    <x v="0"/>
    <x v="15"/>
    <s v="21 (26)"/>
    <n v="21"/>
    <x v="715"/>
    <s v="This Is The Night"/>
  </r>
  <r>
    <x v="28"/>
    <x v="12"/>
    <x v="0"/>
    <x v="69"/>
    <s v="8 (26)"/>
    <n v="9"/>
    <x v="716"/>
    <s v="Tomorrow"/>
  </r>
  <r>
    <x v="28"/>
    <x v="13"/>
    <x v="0"/>
    <x v="48"/>
    <s v="23 (26)"/>
    <n v="22"/>
    <x v="717"/>
    <s v="Coming Home"/>
  </r>
  <r>
    <x v="28"/>
    <x v="14"/>
    <x v="0"/>
    <x v="198"/>
    <s v="12 (26)"/>
    <n v="22"/>
    <x v="712"/>
    <s v="Walk On Walter"/>
  </r>
  <r>
    <x v="28"/>
    <x v="8"/>
    <x v="0"/>
    <x v="156"/>
    <s v="14 (26)"/>
    <n v="1"/>
    <x v="718"/>
    <s v="Chameleon"/>
  </r>
  <r>
    <x v="28"/>
    <x v="9"/>
    <x v="0"/>
    <x v="205"/>
    <s v="7 (26)"/>
    <n v="6"/>
    <x v="719"/>
    <s v="Je Me Casse"/>
  </r>
  <r>
    <x v="29"/>
    <x v="1"/>
    <x v="0"/>
    <x v="206"/>
    <s v="6 (24)"/>
    <n v="7"/>
    <x v="720"/>
    <s v="Boonika Bate Toba"/>
  </r>
  <r>
    <x v="29"/>
    <x v="10"/>
    <x v="0"/>
    <x v="86"/>
    <s v="20 (24)"/>
    <n v="2"/>
    <x v="721"/>
    <s v="Loca"/>
  </r>
  <r>
    <x v="29"/>
    <x v="11"/>
    <x v="0"/>
    <x v="126"/>
    <s v="10 (24)"/>
    <n v="24"/>
    <x v="722"/>
    <s v="Fight"/>
  </r>
  <r>
    <x v="29"/>
    <x v="3"/>
    <x v="0"/>
    <x v="76"/>
    <s v="14 (25)"/>
    <n v="13"/>
    <x v="723"/>
    <s v="Hora Din Moldova"/>
  </r>
  <r>
    <x v="29"/>
    <x v="4"/>
    <x v="0"/>
    <x v="96"/>
    <s v="22 (25)"/>
    <n v="4"/>
    <x v="724"/>
    <s v="Run Away"/>
  </r>
  <r>
    <x v="29"/>
    <x v="57"/>
    <x v="0"/>
    <x v="45"/>
    <s v="12 (25)"/>
    <n v="15"/>
    <x v="725"/>
    <s v="So Lucky"/>
  </r>
  <r>
    <x v="29"/>
    <x v="5"/>
    <x v="0"/>
    <x v="148"/>
    <s v="11 (26)"/>
    <n v="26"/>
    <x v="726"/>
    <s v="L?utar"/>
  </r>
  <r>
    <x v="29"/>
    <x v="12"/>
    <x v="0"/>
    <x v="91"/>
    <s v="11 (26)"/>
    <n v="3"/>
    <x v="727"/>
    <s v="O Mie"/>
  </r>
  <r>
    <x v="29"/>
    <x v="15"/>
    <x v="0"/>
    <x v="207"/>
    <s v="3 (26)"/>
    <n v="7"/>
    <x v="728"/>
    <s v="Hey Mamma"/>
  </r>
  <r>
    <x v="29"/>
    <x v="7"/>
    <x v="0"/>
    <x v="208"/>
    <s v="10 (26)"/>
    <n v="19"/>
    <x v="729"/>
    <s v="My Lucky Day"/>
  </r>
  <r>
    <x v="29"/>
    <x v="9"/>
    <x v="0"/>
    <x v="116"/>
    <s v="13 (26)"/>
    <n v="14"/>
    <x v="730"/>
    <s v="SUGAR"/>
  </r>
  <r>
    <x v="29"/>
    <x v="16"/>
    <x v="0"/>
    <x v="209"/>
    <s v="7 (25)"/>
    <n v="19"/>
    <x v="731"/>
    <s v="Trenule?ul"/>
  </r>
  <r>
    <x v="30"/>
    <x v="19"/>
    <x v="1"/>
    <x v="30"/>
    <s v="11 (11)"/>
    <n v="4"/>
    <x v="732"/>
    <s v="Mon Ami Pierrot"/>
  </r>
  <r>
    <x v="30"/>
    <x v="20"/>
    <x v="1"/>
    <x v="121"/>
    <s v="3 (13)"/>
    <n v="8"/>
    <x v="733"/>
    <s v="Ce Soir-lа"/>
  </r>
  <r>
    <x v="30"/>
    <x v="21"/>
    <x v="1"/>
    <x v="29"/>
    <s v="10 (16)"/>
    <n v="2"/>
    <x v="734"/>
    <s v="Allons, Allons Les Enfants"/>
  </r>
  <r>
    <x v="30"/>
    <x v="22"/>
    <x v="1"/>
    <x v="79"/>
    <s v="2 (16)"/>
    <n v="16"/>
    <x v="733"/>
    <s v="Dis Rien"/>
  </r>
  <r>
    <x v="30"/>
    <x v="23"/>
    <x v="1"/>
    <x v="130"/>
    <s v="5 (16)"/>
    <n v="15"/>
    <x v="735"/>
    <s v="L'amour S'en Va"/>
  </r>
  <r>
    <x v="30"/>
    <x v="24"/>
    <x v="1"/>
    <x v="121"/>
    <s v="3 (16)"/>
    <n v="10"/>
    <x v="668"/>
    <s v="Oщ Sont-elles Passйes?"/>
  </r>
  <r>
    <x v="30"/>
    <x v="25"/>
    <x v="1"/>
    <x v="81"/>
    <s v="9 (18)"/>
    <n v="9"/>
    <x v="736"/>
    <s v="Va Dire а L'amour"/>
  </r>
  <r>
    <x v="30"/>
    <x v="26"/>
    <x v="1"/>
    <x v="31"/>
    <s v="17 (18)"/>
    <n v="13"/>
    <x v="737"/>
    <s v="Bien Plus Fort"/>
  </r>
  <r>
    <x v="30"/>
    <x v="27"/>
    <x v="1"/>
    <x v="74"/>
    <s v="5 (17)"/>
    <n v="14"/>
    <x v="738"/>
    <s v="Boum-badaboum"/>
  </r>
  <r>
    <x v="30"/>
    <x v="28"/>
    <x v="1"/>
    <x v="27"/>
    <s v="7 (17)"/>
    <n v="7"/>
    <x v="739"/>
    <s v="A Chacun Sa Chanson"/>
  </r>
  <r>
    <x v="30"/>
    <x v="58"/>
    <x v="1"/>
    <x v="33"/>
    <s v="6 (16)"/>
    <n v="4"/>
    <x v="740"/>
    <s v="Maman, Maman"/>
  </r>
  <r>
    <x v="30"/>
    <x v="59"/>
    <x v="1"/>
    <x v="40"/>
    <s v="8 (12)"/>
    <n v="10"/>
    <x v="741"/>
    <s v="Marlиne"/>
  </r>
  <r>
    <x v="30"/>
    <x v="29"/>
    <x v="1"/>
    <x v="119"/>
    <s v="1 (18)"/>
    <n v="3"/>
    <x v="742"/>
    <s v="Un Banc, Un Arbre, Une Rue"/>
  </r>
  <r>
    <x v="30"/>
    <x v="30"/>
    <x v="1"/>
    <x v="52"/>
    <s v="16 (18)"/>
    <n v="15"/>
    <x v="743"/>
    <s v="Comme On S'aime"/>
  </r>
  <r>
    <x v="30"/>
    <x v="60"/>
    <x v="1"/>
    <x v="120"/>
    <s v="8 (17)"/>
    <n v="6"/>
    <x v="744"/>
    <s v="Un Train Qui Part"/>
  </r>
  <r>
    <x v="30"/>
    <x v="61"/>
    <x v="1"/>
    <x v="39"/>
    <s v="4 (17)"/>
    <n v="10"/>
    <x v="668"/>
    <s v="Celui Qui Reste Et Celui Qui S'en Va"/>
  </r>
  <r>
    <x v="30"/>
    <x v="62"/>
    <x v="1"/>
    <x v="86"/>
    <s v="13 (19)"/>
    <n v="14"/>
    <x v="745"/>
    <s v="Une Chanson C'est Une Lettre"/>
  </r>
  <r>
    <x v="30"/>
    <x v="31"/>
    <x v="1"/>
    <x v="58"/>
    <s v="3 (18)"/>
    <n v="16"/>
    <x v="746"/>
    <s v="Toi, La Musique Et Moi"/>
  </r>
  <r>
    <x v="30"/>
    <x v="32"/>
    <x v="1"/>
    <x v="78"/>
    <s v="4 (18)"/>
    <n v="2"/>
    <x v="665"/>
    <s v="Une Petite Franзaise"/>
  </r>
  <r>
    <x v="30"/>
    <x v="33"/>
    <x v="1"/>
    <x v="156"/>
    <s v="4 (20)"/>
    <n v="14"/>
    <x v="747"/>
    <s v="Les Jardins De Monaco"/>
  </r>
  <r>
    <x v="30"/>
    <x v="34"/>
    <x v="1"/>
    <x v="44"/>
    <s v="16 (19)"/>
    <n v="6"/>
    <x v="748"/>
    <s v="Notre Vie, C'est La Musique"/>
  </r>
  <r>
    <x v="31"/>
    <x v="13"/>
    <x v="0"/>
    <x v="124"/>
    <s v="19 (26)"/>
    <n v="8"/>
    <x v="749"/>
    <s v="Moj Svijet"/>
  </r>
  <r>
    <x v="31"/>
    <x v="6"/>
    <x v="0"/>
    <x v="114"/>
    <s v="13 (27)"/>
    <n v="16"/>
    <x v="750"/>
    <s v="Adio"/>
  </r>
  <r>
    <x v="32"/>
    <x v="35"/>
    <x v="1"/>
    <x v="81"/>
    <s v="18 (19)"/>
    <n v="5"/>
    <x v="751"/>
    <s v="Bitakat Hob"/>
  </r>
  <r>
    <x v="33"/>
    <x v="17"/>
    <x v="1"/>
    <x v="34"/>
    <s v="1 (10)"/>
    <n v="6"/>
    <x v="752"/>
    <s v="Net Als Toen"/>
  </r>
  <r>
    <x v="33"/>
    <x v="18"/>
    <x v="1"/>
    <x v="30"/>
    <s v="9 (10)"/>
    <n v="2"/>
    <x v="752"/>
    <s v="Heel De Wereld"/>
  </r>
  <r>
    <x v="33"/>
    <x v="19"/>
    <x v="1"/>
    <x v="138"/>
    <s v="1 (11)"/>
    <n v="5"/>
    <x v="753"/>
    <s v="Een Beetje"/>
  </r>
  <r>
    <x v="33"/>
    <x v="20"/>
    <x v="1"/>
    <x v="35"/>
    <s v="12 (13)"/>
    <n v="10"/>
    <x v="754"/>
    <s v="Wat Een Geluk"/>
  </r>
  <r>
    <x v="33"/>
    <x v="21"/>
    <x v="1"/>
    <x v="29"/>
    <s v="10 (16)"/>
    <n v="6"/>
    <x v="755"/>
    <s v="Wat Een Dag"/>
  </r>
  <r>
    <x v="33"/>
    <x v="22"/>
    <x v="1"/>
    <x v="31"/>
    <s v="13 (16)"/>
    <n v="8"/>
    <x v="756"/>
    <s v="Katinka"/>
  </r>
  <r>
    <x v="33"/>
    <x v="23"/>
    <x v="1"/>
    <x v="31"/>
    <s v="13 (16)"/>
    <n v="2"/>
    <x v="757"/>
    <s v="Een Speeldoos"/>
  </r>
  <r>
    <x v="33"/>
    <x v="24"/>
    <x v="1"/>
    <x v="35"/>
    <s v="10 (16)"/>
    <n v="2"/>
    <x v="758"/>
    <s v="Jij Bent Mijn Leven"/>
  </r>
  <r>
    <x v="33"/>
    <x v="25"/>
    <x v="1"/>
    <x v="40"/>
    <s v="11 (18)"/>
    <n v="1"/>
    <x v="759"/>
    <s v="Het Is Genoeg"/>
  </r>
  <r>
    <x v="33"/>
    <x v="26"/>
    <x v="1"/>
    <x v="35"/>
    <s v="15 (18)"/>
    <n v="16"/>
    <x v="760"/>
    <s v="Fernando En Philippo"/>
  </r>
  <r>
    <x v="33"/>
    <x v="27"/>
    <x v="1"/>
    <x v="35"/>
    <s v="14 (17)"/>
    <n v="1"/>
    <x v="761"/>
    <s v="Ring-dinge"/>
  </r>
  <r>
    <x v="33"/>
    <x v="28"/>
    <x v="1"/>
    <x v="30"/>
    <s v="16 (17)"/>
    <n v="2"/>
    <x v="762"/>
    <s v="Morgen"/>
  </r>
  <r>
    <x v="33"/>
    <x v="58"/>
    <x v="1"/>
    <x v="71"/>
    <s v="1 (16)"/>
    <n v="8"/>
    <x v="763"/>
    <s v="De Troubadour"/>
  </r>
  <r>
    <x v="33"/>
    <x v="59"/>
    <x v="1"/>
    <x v="81"/>
    <s v="7 (12)"/>
    <n v="1"/>
    <x v="764"/>
    <s v="Waterman"/>
  </r>
  <r>
    <x v="33"/>
    <x v="29"/>
    <x v="1"/>
    <x v="120"/>
    <s v="6 (18)"/>
    <n v="14"/>
    <x v="765"/>
    <s v="De Tijd"/>
  </r>
  <r>
    <x v="33"/>
    <x v="30"/>
    <x v="1"/>
    <x v="0"/>
    <s v="4 (18)"/>
    <n v="18"/>
    <x v="766"/>
    <s v="Als Het Om De Liefde Gaat"/>
  </r>
  <r>
    <x v="33"/>
    <x v="60"/>
    <x v="1"/>
    <x v="76"/>
    <s v="14 (17)"/>
    <n v="13"/>
    <x v="767"/>
    <s v="De Oude Muzikant"/>
  </r>
  <r>
    <x v="33"/>
    <x v="61"/>
    <x v="1"/>
    <x v="121"/>
    <s v="3 (17)"/>
    <n v="12"/>
    <x v="768"/>
    <s v="I See A Star"/>
  </r>
  <r>
    <x v="33"/>
    <x v="62"/>
    <x v="1"/>
    <x v="170"/>
    <s v="1 (19)"/>
    <n v="1"/>
    <x v="769"/>
    <s v="Ding-A-Dong"/>
  </r>
  <r>
    <x v="33"/>
    <x v="31"/>
    <x v="1"/>
    <x v="83"/>
    <s v="9 (18)"/>
    <n v="8"/>
    <x v="770"/>
    <s v="The Party's Over Now"/>
  </r>
  <r>
    <x v="33"/>
    <x v="32"/>
    <x v="1"/>
    <x v="146"/>
    <s v="12 (18)"/>
    <n v="3"/>
    <x v="771"/>
    <s v="De Mallemolen"/>
  </r>
  <r>
    <x v="33"/>
    <x v="33"/>
    <x v="1"/>
    <x v="124"/>
    <s v="13 (20)"/>
    <n v="11"/>
    <x v="772"/>
    <s v="'t Is Ok"/>
  </r>
  <r>
    <x v="33"/>
    <x v="34"/>
    <x v="1"/>
    <x v="103"/>
    <s v="12 (19)"/>
    <n v="14"/>
    <x v="773"/>
    <s v="Colorado"/>
  </r>
  <r>
    <x v="33"/>
    <x v="35"/>
    <x v="1"/>
    <x v="58"/>
    <s v="5 (19)"/>
    <n v="15"/>
    <x v="774"/>
    <s v="Amsterdam"/>
  </r>
  <r>
    <x v="33"/>
    <x v="36"/>
    <x v="1"/>
    <x v="103"/>
    <s v="9 (20)"/>
    <n v="11"/>
    <x v="775"/>
    <s v="Het Is Een Wonder"/>
  </r>
  <r>
    <x v="33"/>
    <x v="37"/>
    <x v="1"/>
    <x v="27"/>
    <s v="16 (18)"/>
    <n v="16"/>
    <x v="776"/>
    <s v="Jij En Ik"/>
  </r>
  <r>
    <x v="33"/>
    <x v="38"/>
    <x v="1"/>
    <x v="36"/>
    <s v="7 (20)"/>
    <n v="11"/>
    <x v="777"/>
    <s v="Sing Me A Song"/>
  </r>
  <r>
    <x v="33"/>
    <x v="39"/>
    <x v="1"/>
    <x v="6"/>
    <s v="13 (19)"/>
    <n v="11"/>
    <x v="778"/>
    <s v="Ik Hou Van Jou"/>
  </r>
  <r>
    <x v="33"/>
    <x v="41"/>
    <x v="1"/>
    <x v="77"/>
    <s v="13 (20)"/>
    <n v="7"/>
    <x v="779"/>
    <s v="Alles Heeft Ritme"/>
  </r>
  <r>
    <x v="33"/>
    <x v="42"/>
    <x v="1"/>
    <x v="73"/>
    <s v="5 (22)"/>
    <n v="12"/>
    <x v="780"/>
    <s v="Rechtop In De Wind"/>
  </r>
  <r>
    <x v="33"/>
    <x v="43"/>
    <x v="1"/>
    <x v="80"/>
    <s v="9 (21)"/>
    <n v="7"/>
    <x v="781"/>
    <s v="Shangri-la"/>
  </r>
  <r>
    <x v="33"/>
    <x v="44"/>
    <x v="1"/>
    <x v="117"/>
    <s v="15 (22)"/>
    <n v="4"/>
    <x v="782"/>
    <s v="Blijf Zoals Je Bent"/>
  </r>
  <r>
    <x v="33"/>
    <x v="45"/>
    <x v="1"/>
    <x v="130"/>
    <s v="15 (22)"/>
    <n v="5"/>
    <x v="783"/>
    <s v="Ik Wil Alles Met Je Delen"/>
  </r>
  <r>
    <x v="33"/>
    <x v="47"/>
    <x v="1"/>
    <x v="50"/>
    <s v="9 (23)"/>
    <n v="23"/>
    <x v="784"/>
    <s v="Wijs Me De Weg"/>
  </r>
  <r>
    <x v="33"/>
    <x v="48"/>
    <x v="1"/>
    <x v="13"/>
    <s v="6 (25)"/>
    <n v="20"/>
    <x v="785"/>
    <s v="Vrede"/>
  </r>
  <r>
    <x v="33"/>
    <x v="49"/>
    <x v="1"/>
    <x v="28"/>
    <s v="23 (25)"/>
    <n v="13"/>
    <x v="786"/>
    <s v="Waar Is De Zon"/>
  </r>
  <r>
    <x v="33"/>
    <x v="51"/>
    <x v="1"/>
    <x v="144"/>
    <s v="7 (23)"/>
    <n v="15"/>
    <x v="787"/>
    <s v="De Eerste Keer"/>
  </r>
  <r>
    <x v="33"/>
    <x v="52"/>
    <x v="1"/>
    <x v="40"/>
    <s v="22 (25)"/>
    <n v="8"/>
    <x v="788"/>
    <s v="Niemand Heeft Nog Tijd"/>
  </r>
  <r>
    <x v="33"/>
    <x v="63"/>
    <x v="1"/>
    <x v="64"/>
    <s v="4 (25)"/>
    <n v="18"/>
    <x v="789"/>
    <s v="Hemel En Aarde"/>
  </r>
  <r>
    <x v="33"/>
    <x v="53"/>
    <x v="1"/>
    <x v="91"/>
    <s v="8 (23)"/>
    <n v="11"/>
    <x v="790"/>
    <s v="One Good Reason"/>
  </r>
  <r>
    <x v="33"/>
    <x v="54"/>
    <x v="1"/>
    <x v="77"/>
    <s v="13 (24)"/>
    <n v="2"/>
    <x v="791"/>
    <s v="No Goodbyes"/>
  </r>
  <r>
    <x v="33"/>
    <x v="64"/>
    <x v="1"/>
    <x v="32"/>
    <s v="18 (23)"/>
    <n v="1"/>
    <x v="419"/>
    <s v="Out On My Own"/>
  </r>
  <r>
    <x v="33"/>
    <x v="56"/>
    <x v="1"/>
    <x v="117"/>
    <s v="13 (26)"/>
    <n v="14"/>
    <x v="792"/>
    <s v="One More Night"/>
  </r>
  <r>
    <x v="33"/>
    <x v="0"/>
    <x v="0"/>
    <x v="33"/>
    <s v="20 (24)"/>
    <n v="7"/>
    <x v="793"/>
    <s v="Without You"/>
  </r>
  <r>
    <x v="33"/>
    <x v="12"/>
    <x v="0"/>
    <x v="190"/>
    <s v="9 (26)"/>
    <n v="13"/>
    <x v="794"/>
    <s v="Birds"/>
  </r>
  <r>
    <x v="33"/>
    <x v="13"/>
    <x v="0"/>
    <x v="210"/>
    <s v="2 (26)"/>
    <n v="24"/>
    <x v="795"/>
    <s v="Calm After The Storm"/>
  </r>
  <r>
    <x v="33"/>
    <x v="14"/>
    <x v="0"/>
    <x v="198"/>
    <s v="11 (26)"/>
    <n v="3"/>
    <x v="796"/>
    <s v="Slow Down"/>
  </r>
  <r>
    <x v="33"/>
    <x v="15"/>
    <x v="0"/>
    <x v="64"/>
    <s v="11 (26)"/>
    <n v="6"/>
    <x v="797"/>
    <s v="Lights and Shadows"/>
  </r>
  <r>
    <x v="33"/>
    <x v="7"/>
    <x v="0"/>
    <x v="152"/>
    <s v="18 (26)"/>
    <n v="23"/>
    <x v="798"/>
    <s v="Outlaw In 'Em"/>
  </r>
  <r>
    <x v="33"/>
    <x v="8"/>
    <x v="0"/>
    <x v="211"/>
    <s v="1 (26)"/>
    <n v="12"/>
    <x v="799"/>
    <s v="Arcade"/>
  </r>
  <r>
    <x v="33"/>
    <x v="9"/>
    <x v="0"/>
    <x v="33"/>
    <s v="23 (26)"/>
    <n v="23"/>
    <x v="800"/>
    <s v="Birth Of A New Age"/>
  </r>
  <r>
    <x v="33"/>
    <x v="16"/>
    <x v="0"/>
    <x v="212"/>
    <s v="11 (25)"/>
    <n v="11"/>
    <x v="801"/>
    <s v="De Diepte"/>
  </r>
  <r>
    <x v="34"/>
    <x v="20"/>
    <x v="1"/>
    <x v="33"/>
    <s v="4 (13)"/>
    <n v="6"/>
    <x v="802"/>
    <s v="Voi-voi"/>
  </r>
  <r>
    <x v="34"/>
    <x v="21"/>
    <x v="1"/>
    <x v="74"/>
    <s v="7 (16)"/>
    <n v="12"/>
    <x v="802"/>
    <s v="Sommer I Palma"/>
  </r>
  <r>
    <x v="34"/>
    <x v="22"/>
    <x v="1"/>
    <x v="35"/>
    <s v="10 (16)"/>
    <n v="10"/>
    <x v="803"/>
    <s v="Kom Sol, Kom Regn"/>
  </r>
  <r>
    <x v="34"/>
    <x v="23"/>
    <x v="1"/>
    <x v="31"/>
    <s v="13 (16)"/>
    <n v="5"/>
    <x v="804"/>
    <s v="Solhverv"/>
  </r>
  <r>
    <x v="34"/>
    <x v="24"/>
    <x v="1"/>
    <x v="29"/>
    <s v="8 (16)"/>
    <n v="3"/>
    <x v="805"/>
    <s v="Spiral"/>
  </r>
  <r>
    <x v="34"/>
    <x v="25"/>
    <x v="1"/>
    <x v="30"/>
    <s v="13 (18)"/>
    <n v="7"/>
    <x v="806"/>
    <s v="Karusell"/>
  </r>
  <r>
    <x v="34"/>
    <x v="26"/>
    <x v="1"/>
    <x v="121"/>
    <s v="3 (18)"/>
    <n v="6"/>
    <x v="807"/>
    <s v="Intet Er Nytt Under Solen"/>
  </r>
  <r>
    <x v="34"/>
    <x v="27"/>
    <x v="1"/>
    <x v="35"/>
    <s v="14 (17)"/>
    <n v="13"/>
    <x v="806"/>
    <s v="Dukkemann"/>
  </r>
  <r>
    <x v="34"/>
    <x v="28"/>
    <x v="1"/>
    <x v="35"/>
    <s v="13 (17)"/>
    <n v="13"/>
    <x v="808"/>
    <s v="Stress"/>
  </r>
  <r>
    <x v="34"/>
    <x v="58"/>
    <x v="1"/>
    <x v="30"/>
    <s v="16 (16)"/>
    <n v="12"/>
    <x v="806"/>
    <s v="Oj, Oj, Oj, Sе Glad, Jeg Skal Bli"/>
  </r>
  <r>
    <x v="34"/>
    <x v="29"/>
    <x v="1"/>
    <x v="52"/>
    <s v="17 (18)"/>
    <n v="18"/>
    <x v="809"/>
    <s v="Lykken Er..."/>
  </r>
  <r>
    <x v="34"/>
    <x v="30"/>
    <x v="1"/>
    <x v="118"/>
    <s v="14 (18)"/>
    <n v="6"/>
    <x v="810"/>
    <s v="Smеting"/>
  </r>
  <r>
    <x v="34"/>
    <x v="60"/>
    <x v="1"/>
    <x v="189"/>
    <s v="7 (17)"/>
    <n v="5"/>
    <x v="811"/>
    <s v="It's Just A Game"/>
  </r>
  <r>
    <x v="34"/>
    <x v="61"/>
    <x v="1"/>
    <x v="26"/>
    <s v="14 (17)"/>
    <n v="4"/>
    <x v="812"/>
    <s v="The First Day Of Love"/>
  </r>
  <r>
    <x v="34"/>
    <x v="62"/>
    <x v="1"/>
    <x v="33"/>
    <s v="18 (19)"/>
    <n v="6"/>
    <x v="813"/>
    <s v="You Touched My Life With Summer"/>
  </r>
  <r>
    <x v="34"/>
    <x v="31"/>
    <x v="1"/>
    <x v="81"/>
    <s v="18 (18)"/>
    <n v="9"/>
    <x v="814"/>
    <s v="Mata Hari"/>
  </r>
  <r>
    <x v="34"/>
    <x v="32"/>
    <x v="1"/>
    <x v="71"/>
    <s v="14 (18)"/>
    <n v="5"/>
    <x v="815"/>
    <s v="Casanova"/>
  </r>
  <r>
    <x v="34"/>
    <x v="33"/>
    <x v="1"/>
    <x v="31"/>
    <s v="20 (20)"/>
    <n v="2"/>
    <x v="816"/>
    <s v="Mil Etter Mil"/>
  </r>
  <r>
    <x v="34"/>
    <x v="34"/>
    <x v="1"/>
    <x v="9"/>
    <s v="11 (19)"/>
    <n v="16"/>
    <x v="815"/>
    <s v="Oliver"/>
  </r>
  <r>
    <x v="34"/>
    <x v="35"/>
    <x v="1"/>
    <x v="121"/>
    <s v="16 (19)"/>
    <n v="11"/>
    <x v="817"/>
    <s v="Sбmiid Жdnan"/>
  </r>
  <r>
    <x v="34"/>
    <x v="36"/>
    <x v="1"/>
    <x v="31"/>
    <s v="20 (20)"/>
    <n v="13"/>
    <x v="818"/>
    <s v="Aldri I Livet"/>
  </r>
  <r>
    <x v="34"/>
    <x v="37"/>
    <x v="1"/>
    <x v="77"/>
    <s v="12 (18)"/>
    <n v="3"/>
    <x v="819"/>
    <s v="Adieu"/>
  </r>
  <r>
    <x v="34"/>
    <x v="38"/>
    <x v="1"/>
    <x v="1"/>
    <s v="9 (20)"/>
    <n v="2"/>
    <x v="816"/>
    <s v="Do Re Mi"/>
  </r>
  <r>
    <x v="34"/>
    <x v="39"/>
    <x v="1"/>
    <x v="99"/>
    <s v="17 (19)"/>
    <n v="5"/>
    <x v="820"/>
    <s v="Lenge Leve Livet"/>
  </r>
  <r>
    <x v="34"/>
    <x v="40"/>
    <x v="1"/>
    <x v="202"/>
    <s v="1 (19)"/>
    <n v="13"/>
    <x v="821"/>
    <s v="La Det Swinge"/>
  </r>
  <r>
    <x v="34"/>
    <x v="41"/>
    <x v="1"/>
    <x v="114"/>
    <s v="12 (20)"/>
    <n v="4"/>
    <x v="822"/>
    <s v="Romeo"/>
  </r>
  <r>
    <x v="34"/>
    <x v="42"/>
    <x v="1"/>
    <x v="52"/>
    <s v="9 (22)"/>
    <n v="1"/>
    <x v="823"/>
    <s v="Mitt Liv"/>
  </r>
  <r>
    <x v="34"/>
    <x v="43"/>
    <x v="1"/>
    <x v="213"/>
    <s v="5 (21)"/>
    <n v="15"/>
    <x v="824"/>
    <s v="For Vеr Jord"/>
  </r>
  <r>
    <x v="34"/>
    <x v="44"/>
    <x v="1"/>
    <x v="165"/>
    <s v="17 (22)"/>
    <n v="8"/>
    <x v="825"/>
    <s v="Venners Nжrhet"/>
  </r>
  <r>
    <x v="34"/>
    <x v="45"/>
    <x v="1"/>
    <x v="27"/>
    <s v="21 (22)"/>
    <n v="9"/>
    <x v="822"/>
    <s v="Brandenburger Tor"/>
  </r>
  <r>
    <x v="34"/>
    <x v="46"/>
    <x v="1"/>
    <x v="39"/>
    <s v="17 (22)"/>
    <n v="14"/>
    <x v="826"/>
    <s v="Mrs. Thompson"/>
  </r>
  <r>
    <x v="34"/>
    <x v="47"/>
    <x v="1"/>
    <x v="85"/>
    <s v="18 (23)"/>
    <n v="21"/>
    <x v="827"/>
    <s v="Visjoner"/>
  </r>
  <r>
    <x v="34"/>
    <x v="48"/>
    <x v="1"/>
    <x v="69"/>
    <s v="5 (25)"/>
    <n v="25"/>
    <x v="828"/>
    <s v="Alle Mine Tankar"/>
  </r>
  <r>
    <x v="34"/>
    <x v="49"/>
    <x v="1"/>
    <x v="129"/>
    <s v="6 (25)"/>
    <n v="17"/>
    <x v="829"/>
    <s v="Duett"/>
  </r>
  <r>
    <x v="34"/>
    <x v="50"/>
    <x v="1"/>
    <x v="206"/>
    <s v="1 (23)"/>
    <n v="5"/>
    <x v="830"/>
    <s v="Nocturne"/>
  </r>
  <r>
    <x v="34"/>
    <x v="51"/>
    <x v="1"/>
    <x v="190"/>
    <s v="2 (23)"/>
    <n v="12"/>
    <x v="831"/>
    <s v="I Evighet"/>
  </r>
  <r>
    <x v="34"/>
    <x v="52"/>
    <x v="1"/>
    <x v="31"/>
    <s v="24 (25)"/>
    <n v="3"/>
    <x v="832"/>
    <s v="San Francisco"/>
  </r>
  <r>
    <x v="34"/>
    <x v="63"/>
    <x v="1"/>
    <x v="18"/>
    <s v="8 (25)"/>
    <n v="22"/>
    <x v="833"/>
    <s v="Alltid Sommer"/>
  </r>
  <r>
    <x v="34"/>
    <x v="53"/>
    <x v="1"/>
    <x v="146"/>
    <s v="14 (23)"/>
    <n v="8"/>
    <x v="834"/>
    <s v="Living My Life Without You"/>
  </r>
  <r>
    <x v="34"/>
    <x v="54"/>
    <x v="1"/>
    <x v="9"/>
    <s v="11 (24)"/>
    <n v="8"/>
    <x v="835"/>
    <s v="My Heart Goes Boom"/>
  </r>
  <r>
    <x v="34"/>
    <x v="64"/>
    <x v="1"/>
    <x v="26"/>
    <s v="22 (23)"/>
    <n v="4"/>
    <x v="836"/>
    <s v="On My Own"/>
  </r>
  <r>
    <x v="34"/>
    <x v="56"/>
    <x v="1"/>
    <x v="202"/>
    <s v="4 (26)"/>
    <n v="18"/>
    <x v="837"/>
    <s v="I'm Not Afraid To Move On"/>
  </r>
  <r>
    <x v="34"/>
    <x v="0"/>
    <x v="0"/>
    <x v="26"/>
    <s v="24 (24)"/>
    <n v="3"/>
    <x v="838"/>
    <s v="High"/>
  </r>
  <r>
    <x v="34"/>
    <x v="1"/>
    <x v="0"/>
    <x v="25"/>
    <s v="9 (24)"/>
    <n v="5"/>
    <x v="839"/>
    <s v="In My Dreams"/>
  </r>
  <r>
    <x v="34"/>
    <x v="10"/>
    <x v="0"/>
    <x v="122"/>
    <s v="14 (24)"/>
    <n v="5"/>
    <x v="840"/>
    <s v="Alvedansen"/>
  </r>
  <r>
    <x v="34"/>
    <x v="2"/>
    <x v="0"/>
    <x v="214"/>
    <s v="5 (25)"/>
    <n v="25"/>
    <x v="841"/>
    <s v="Hold On Be Strong"/>
  </r>
  <r>
    <x v="34"/>
    <x v="3"/>
    <x v="0"/>
    <x v="215"/>
    <s v="1 (25)"/>
    <n v="20"/>
    <x v="842"/>
    <s v="Fairytale"/>
  </r>
  <r>
    <x v="34"/>
    <x v="4"/>
    <x v="0"/>
    <x v="146"/>
    <s v="20 (25)"/>
    <n v="3"/>
    <x v="843"/>
    <s v="My Heart Is Yours"/>
  </r>
  <r>
    <x v="34"/>
    <x v="5"/>
    <x v="0"/>
    <x v="81"/>
    <s v="26 (26)"/>
    <n v="12"/>
    <x v="844"/>
    <s v="Stay"/>
  </r>
  <r>
    <x v="34"/>
    <x v="12"/>
    <x v="0"/>
    <x v="216"/>
    <s v="4 (26)"/>
    <n v="24"/>
    <x v="845"/>
    <s v="I Feed You My Love"/>
  </r>
  <r>
    <x v="34"/>
    <x v="13"/>
    <x v="0"/>
    <x v="213"/>
    <s v="8 (26)"/>
    <n v="5"/>
    <x v="846"/>
    <s v="Silent Storm"/>
  </r>
  <r>
    <x v="34"/>
    <x v="6"/>
    <x v="0"/>
    <x v="217"/>
    <s v="8 (27)"/>
    <n v="9"/>
    <x v="847"/>
    <s v="A Monster Like Me"/>
  </r>
  <r>
    <x v="34"/>
    <x v="15"/>
    <x v="0"/>
    <x v="218"/>
    <s v="10 (26)"/>
    <n v="17"/>
    <x v="848"/>
    <s v="Grab The Moment"/>
  </r>
  <r>
    <x v="34"/>
    <x v="7"/>
    <x v="0"/>
    <x v="219"/>
    <s v="15 (26)"/>
    <n v="7"/>
    <x v="842"/>
    <s v="That's How You Write A Song"/>
  </r>
  <r>
    <x v="34"/>
    <x v="8"/>
    <x v="0"/>
    <x v="220"/>
    <s v="6 (26)"/>
    <n v="15"/>
    <x v="849"/>
    <s v="Spirit in the Sky"/>
  </r>
  <r>
    <x v="34"/>
    <x v="9"/>
    <x v="0"/>
    <x v="221"/>
    <s v="18 (26)"/>
    <n v="22"/>
    <x v="850"/>
    <s v="Fallen Angel"/>
  </r>
  <r>
    <x v="34"/>
    <x v="16"/>
    <x v="0"/>
    <x v="214"/>
    <s v="10 (25)"/>
    <n v="7"/>
    <x v="851"/>
    <s v="Give That Wolf A Banana"/>
  </r>
  <r>
    <x v="35"/>
    <x v="49"/>
    <x v="1"/>
    <x v="107"/>
    <s v="2 (25)"/>
    <n v="24"/>
    <x v="852"/>
    <s v="To Nie Ja!"/>
  </r>
  <r>
    <x v="35"/>
    <x v="50"/>
    <x v="1"/>
    <x v="121"/>
    <s v="18 (23)"/>
    <n v="1"/>
    <x v="853"/>
    <s v="Sama"/>
  </r>
  <r>
    <x v="35"/>
    <x v="51"/>
    <x v="1"/>
    <x v="34"/>
    <s v="15 (23)"/>
    <n v="20"/>
    <x v="854"/>
    <s v="Chce Znac Swуj Grzech"/>
  </r>
  <r>
    <x v="35"/>
    <x v="52"/>
    <x v="1"/>
    <x v="178"/>
    <s v="11 (25)"/>
    <n v="12"/>
    <x v="855"/>
    <s v="Ale Jestem"/>
  </r>
  <r>
    <x v="35"/>
    <x v="63"/>
    <x v="1"/>
    <x v="49"/>
    <s v="17 (25)"/>
    <n v="7"/>
    <x v="856"/>
    <s v="To Takie Proste"/>
  </r>
  <r>
    <x v="35"/>
    <x v="53"/>
    <x v="1"/>
    <x v="75"/>
    <s v="18 (23)"/>
    <n v="12"/>
    <x v="857"/>
    <s v="Przytul Mnie Mocno"/>
  </r>
  <r>
    <x v="35"/>
    <x v="64"/>
    <x v="1"/>
    <x v="33"/>
    <s v="20 (23)"/>
    <n v="18"/>
    <x v="858"/>
    <s v="2 Long"/>
  </r>
  <r>
    <x v="35"/>
    <x v="56"/>
    <x v="1"/>
    <x v="8"/>
    <s v="7 (26)"/>
    <n v="20"/>
    <x v="859"/>
    <s v="Keine Grenzen - Zadnych Granic"/>
  </r>
  <r>
    <x v="35"/>
    <x v="0"/>
    <x v="0"/>
    <x v="96"/>
    <s v="17 (24)"/>
    <n v="19"/>
    <x v="860"/>
    <s v="Love Song"/>
  </r>
  <r>
    <x v="35"/>
    <x v="2"/>
    <x v="0"/>
    <x v="39"/>
    <s v="24 (25)"/>
    <n v="10"/>
    <x v="861"/>
    <s v="For Life"/>
  </r>
  <r>
    <x v="35"/>
    <x v="13"/>
    <x v="0"/>
    <x v="4"/>
    <s v="14 (26)"/>
    <n v="9"/>
    <x v="862"/>
    <s v="My S?owianie - We Are Slavic"/>
  </r>
  <r>
    <x v="35"/>
    <x v="6"/>
    <x v="0"/>
    <x v="74"/>
    <s v="23 (27)"/>
    <n v="18"/>
    <x v="863"/>
    <s v="In The Name Of Love"/>
  </r>
  <r>
    <x v="35"/>
    <x v="14"/>
    <x v="0"/>
    <x v="101"/>
    <s v="8 (26)"/>
    <n v="12"/>
    <x v="864"/>
    <s v="Color Of Your Life"/>
  </r>
  <r>
    <x v="35"/>
    <x v="15"/>
    <x v="0"/>
    <x v="41"/>
    <s v="22 (26)"/>
    <n v="2"/>
    <x v="865"/>
    <s v="Flashlight"/>
  </r>
  <r>
    <x v="35"/>
    <x v="16"/>
    <x v="0"/>
    <x v="57"/>
    <s v="12 (25)"/>
    <n v="23"/>
    <x v="866"/>
    <s v="River"/>
  </r>
  <r>
    <x v="36"/>
    <x v="24"/>
    <x v="1"/>
    <x v="31"/>
    <s v="13 (16)"/>
    <n v="11"/>
    <x v="867"/>
    <s v="Oraзгo"/>
  </r>
  <r>
    <x v="36"/>
    <x v="25"/>
    <x v="1"/>
    <x v="30"/>
    <s v="13 (18)"/>
    <n v="12"/>
    <x v="868"/>
    <s v="Sol De Inverno"/>
  </r>
  <r>
    <x v="36"/>
    <x v="26"/>
    <x v="1"/>
    <x v="29"/>
    <s v="13 (18)"/>
    <n v="8"/>
    <x v="869"/>
    <s v="Ele E Ela"/>
  </r>
  <r>
    <x v="36"/>
    <x v="27"/>
    <x v="1"/>
    <x v="26"/>
    <s v="12 (17)"/>
    <n v="5"/>
    <x v="870"/>
    <s v="O Vento Mudou"/>
  </r>
  <r>
    <x v="36"/>
    <x v="28"/>
    <x v="1"/>
    <x v="40"/>
    <s v="11 (17)"/>
    <n v="1"/>
    <x v="871"/>
    <s v="Verгo"/>
  </r>
  <r>
    <x v="36"/>
    <x v="58"/>
    <x v="1"/>
    <x v="28"/>
    <s v="15 (16)"/>
    <n v="15"/>
    <x v="872"/>
    <s v="Desfolhada Portuguesa"/>
  </r>
  <r>
    <x v="36"/>
    <x v="29"/>
    <x v="1"/>
    <x v="73"/>
    <s v="9 (18)"/>
    <n v="15"/>
    <x v="873"/>
    <s v="Menina Do Alto Da Serra"/>
  </r>
  <r>
    <x v="36"/>
    <x v="30"/>
    <x v="1"/>
    <x v="8"/>
    <s v="7 (18)"/>
    <n v="7"/>
    <x v="871"/>
    <s v="A Festa Da Vida"/>
  </r>
  <r>
    <x v="36"/>
    <x v="60"/>
    <x v="1"/>
    <x v="38"/>
    <s v="10 (17)"/>
    <n v="3"/>
    <x v="874"/>
    <s v="Tourada"/>
  </r>
  <r>
    <x v="36"/>
    <x v="61"/>
    <x v="1"/>
    <x v="26"/>
    <s v="14 (17)"/>
    <n v="16"/>
    <x v="875"/>
    <s v="E Depois Do Adeus"/>
  </r>
  <r>
    <x v="36"/>
    <x v="62"/>
    <x v="1"/>
    <x v="32"/>
    <s v="16 (19)"/>
    <n v="16"/>
    <x v="876"/>
    <s v="Madrugada"/>
  </r>
  <r>
    <x v="36"/>
    <x v="31"/>
    <x v="1"/>
    <x v="110"/>
    <s v="12 (18)"/>
    <n v="15"/>
    <x v="877"/>
    <s v="Uma Flor De Verde Pinho"/>
  </r>
  <r>
    <x v="36"/>
    <x v="32"/>
    <x v="1"/>
    <x v="71"/>
    <s v="14 (18)"/>
    <n v="8"/>
    <x v="878"/>
    <s v="Portugal No Coraзгo"/>
  </r>
  <r>
    <x v="36"/>
    <x v="33"/>
    <x v="1"/>
    <x v="40"/>
    <s v="17 (20)"/>
    <n v="5"/>
    <x v="879"/>
    <s v="Dai-li-dou"/>
  </r>
  <r>
    <x v="36"/>
    <x v="34"/>
    <x v="1"/>
    <x v="41"/>
    <s v="9 (19)"/>
    <n v="1"/>
    <x v="880"/>
    <s v="Sobe, Sobe, Balгo Sobe"/>
  </r>
  <r>
    <x v="36"/>
    <x v="35"/>
    <x v="1"/>
    <x v="91"/>
    <s v="7 (19)"/>
    <n v="14"/>
    <x v="881"/>
    <s v="Um Grande, Grande Amor"/>
  </r>
  <r>
    <x v="36"/>
    <x v="36"/>
    <x v="1"/>
    <x v="55"/>
    <s v="18 (20)"/>
    <n v="15"/>
    <x v="882"/>
    <s v="Play-back"/>
  </r>
  <r>
    <x v="36"/>
    <x v="37"/>
    <x v="1"/>
    <x v="48"/>
    <s v="13 (18)"/>
    <n v="1"/>
    <x v="883"/>
    <s v="Bem-bom"/>
  </r>
  <r>
    <x v="36"/>
    <x v="38"/>
    <x v="1"/>
    <x v="66"/>
    <s v="13 (20)"/>
    <n v="17"/>
    <x v="884"/>
    <s v="Esta Balada Que Te Dou"/>
  </r>
  <r>
    <x v="36"/>
    <x v="39"/>
    <x v="1"/>
    <x v="88"/>
    <s v="11 (19)"/>
    <n v="19"/>
    <x v="885"/>
    <s v="Silкncio E Tanta Gente"/>
  </r>
  <r>
    <x v="36"/>
    <x v="40"/>
    <x v="1"/>
    <x v="55"/>
    <s v="18 (19)"/>
    <n v="9"/>
    <x v="886"/>
    <s v="Penso Em Ti, Eu Sei"/>
  </r>
  <r>
    <x v="36"/>
    <x v="41"/>
    <x v="1"/>
    <x v="174"/>
    <s v="14 (20)"/>
    <n v="20"/>
    <x v="887"/>
    <s v="Nгo Sejas Mau Para Mim"/>
  </r>
  <r>
    <x v="36"/>
    <x v="42"/>
    <x v="1"/>
    <x v="121"/>
    <s v="18 (22)"/>
    <n v="8"/>
    <x v="888"/>
    <s v="Neste Barco а Vela"/>
  </r>
  <r>
    <x v="36"/>
    <x v="43"/>
    <x v="1"/>
    <x v="40"/>
    <s v="18 (21)"/>
    <n v="20"/>
    <x v="887"/>
    <s v="Voltarei"/>
  </r>
  <r>
    <x v="36"/>
    <x v="44"/>
    <x v="1"/>
    <x v="97"/>
    <s v="16 (22)"/>
    <n v="9"/>
    <x v="889"/>
    <s v="Conquistador"/>
  </r>
  <r>
    <x v="36"/>
    <x v="45"/>
    <x v="1"/>
    <x v="55"/>
    <s v="20 (22)"/>
    <n v="16"/>
    <x v="890"/>
    <s v="Hб Sempre Alguйm"/>
  </r>
  <r>
    <x v="36"/>
    <x v="46"/>
    <x v="1"/>
    <x v="4"/>
    <s v="8 (22)"/>
    <n v="12"/>
    <x v="891"/>
    <s v="Lusitana Paixгo"/>
  </r>
  <r>
    <x v="36"/>
    <x v="47"/>
    <x v="1"/>
    <x v="53"/>
    <s v="17 (23)"/>
    <n v="8"/>
    <x v="892"/>
    <s v="Amor D'бgua Fresca"/>
  </r>
  <r>
    <x v="36"/>
    <x v="48"/>
    <x v="1"/>
    <x v="43"/>
    <s v="10 (25)"/>
    <n v="11"/>
    <x v="893"/>
    <s v="A Cidade Atй Ser Dia"/>
  </r>
  <r>
    <x v="36"/>
    <x v="49"/>
    <x v="1"/>
    <x v="118"/>
    <s v="8 (25)"/>
    <n v="8"/>
    <x v="894"/>
    <s v="Chamar A Mъsica"/>
  </r>
  <r>
    <x v="36"/>
    <x v="50"/>
    <x v="1"/>
    <x v="40"/>
    <s v="21 (23)"/>
    <n v="16"/>
    <x v="895"/>
    <s v="Baunilha E Chocolate"/>
  </r>
  <r>
    <x v="36"/>
    <x v="51"/>
    <x v="1"/>
    <x v="13"/>
    <s v="6 (23)"/>
    <n v="4"/>
    <x v="896"/>
    <s v="O Meu Coraзгo Nгo Tem Cor"/>
  </r>
  <r>
    <x v="36"/>
    <x v="52"/>
    <x v="1"/>
    <x v="31"/>
    <s v="24 (25)"/>
    <n v="15"/>
    <x v="897"/>
    <s v="Antes Do Adeus"/>
  </r>
  <r>
    <x v="36"/>
    <x v="63"/>
    <x v="1"/>
    <x v="122"/>
    <s v="12 (25)"/>
    <n v="14"/>
    <x v="898"/>
    <s v="Se Eu Te Pudesse Abraзar"/>
  </r>
  <r>
    <x v="36"/>
    <x v="53"/>
    <x v="1"/>
    <x v="44"/>
    <s v="21 (23)"/>
    <n v="16"/>
    <x v="899"/>
    <s v="Como Tudo Comeзou"/>
  </r>
  <r>
    <x v="36"/>
    <x v="64"/>
    <x v="1"/>
    <x v="71"/>
    <s v="17 (23)"/>
    <n v="11"/>
    <x v="900"/>
    <s v="Sу Sei Ser Feliz Assim"/>
  </r>
  <r>
    <x v="36"/>
    <x v="56"/>
    <x v="1"/>
    <x v="79"/>
    <s v="22 (26)"/>
    <n v="7"/>
    <x v="901"/>
    <s v="Deixa-me Sonhar"/>
  </r>
  <r>
    <x v="36"/>
    <x v="2"/>
    <x v="0"/>
    <x v="76"/>
    <s v="13 (25)"/>
    <n v="13"/>
    <x v="902"/>
    <s v="Senhora Do Mar (Negras Бguas)"/>
  </r>
  <r>
    <x v="36"/>
    <x v="3"/>
    <x v="0"/>
    <x v="9"/>
    <s v="15 (25)"/>
    <n v="6"/>
    <x v="903"/>
    <s v="Todas As Ruas Do Amor"/>
  </r>
  <r>
    <x v="36"/>
    <x v="4"/>
    <x v="0"/>
    <x v="72"/>
    <s v="18 (25)"/>
    <n v="23"/>
    <x v="904"/>
    <s v="Hб Dias Assim"/>
  </r>
  <r>
    <x v="36"/>
    <x v="15"/>
    <x v="0"/>
    <x v="222"/>
    <s v="1 (26)"/>
    <n v="11"/>
    <x v="905"/>
    <s v="Amar Pelos Dois"/>
  </r>
  <r>
    <x v="36"/>
    <x v="7"/>
    <x v="0"/>
    <x v="97"/>
    <s v="26 (26)"/>
    <n v="8"/>
    <x v="906"/>
    <s v="O Jardim"/>
  </r>
  <r>
    <x v="36"/>
    <x v="9"/>
    <x v="0"/>
    <x v="198"/>
    <s v="12 (26)"/>
    <n v="7"/>
    <x v="907"/>
    <s v="Love Is On My Side"/>
  </r>
  <r>
    <x v="36"/>
    <x v="16"/>
    <x v="0"/>
    <x v="61"/>
    <s v="9 (25)"/>
    <n v="3"/>
    <x v="908"/>
    <s v="Saudade, Saudade"/>
  </r>
  <r>
    <x v="37"/>
    <x v="49"/>
    <x v="1"/>
    <x v="39"/>
    <s v="21 (25)"/>
    <n v="11"/>
    <x v="909"/>
    <s v="Dincolo De Nori"/>
  </r>
  <r>
    <x v="37"/>
    <x v="63"/>
    <x v="1"/>
    <x v="29"/>
    <s v="22 (25)"/>
    <n v="15"/>
    <x v="910"/>
    <s v="Eu Cred"/>
  </r>
  <r>
    <x v="37"/>
    <x v="54"/>
    <x v="1"/>
    <x v="130"/>
    <s v="17 (24)"/>
    <n v="6"/>
    <x v="911"/>
    <s v="The Moon"/>
  </r>
  <r>
    <x v="37"/>
    <x v="55"/>
    <x v="1"/>
    <x v="91"/>
    <s v="9 (24)"/>
    <n v="21"/>
    <x v="912"/>
    <s v="Tell Me Why"/>
  </r>
  <r>
    <x v="37"/>
    <x v="56"/>
    <x v="1"/>
    <x v="118"/>
    <s v="10 (26)"/>
    <n v="24"/>
    <x v="913"/>
    <s v="Don't Break My Heart"/>
  </r>
  <r>
    <x v="37"/>
    <x v="0"/>
    <x v="0"/>
    <x v="71"/>
    <s v="18 (24)"/>
    <n v="23"/>
    <x v="914"/>
    <s v="I Admit"/>
  </r>
  <r>
    <x v="37"/>
    <x v="1"/>
    <x v="0"/>
    <x v="218"/>
    <s v="3 (24)"/>
    <n v="4"/>
    <x v="915"/>
    <s v="Let Me Try"/>
  </r>
  <r>
    <x v="37"/>
    <x v="10"/>
    <x v="0"/>
    <x v="180"/>
    <s v="4 (24)"/>
    <n v="12"/>
    <x v="916"/>
    <s v="Tornero"/>
  </r>
  <r>
    <x v="37"/>
    <x v="11"/>
    <x v="0"/>
    <x v="143"/>
    <s v="13 (24)"/>
    <n v="20"/>
    <x v="917"/>
    <s v="Liubi, Liubi, I Love You"/>
  </r>
  <r>
    <x v="37"/>
    <x v="2"/>
    <x v="0"/>
    <x v="117"/>
    <s v="20 (25)"/>
    <n v="1"/>
    <x v="918"/>
    <s v="Pe-o Margine De Lume"/>
  </r>
  <r>
    <x v="37"/>
    <x v="3"/>
    <x v="0"/>
    <x v="77"/>
    <s v="19 (25)"/>
    <n v="22"/>
    <x v="919"/>
    <s v="The Balkan Girls"/>
  </r>
  <r>
    <x v="37"/>
    <x v="4"/>
    <x v="0"/>
    <x v="183"/>
    <s v="3 (25)"/>
    <n v="19"/>
    <x v="920"/>
    <s v="Playing With Fire"/>
  </r>
  <r>
    <x v="37"/>
    <x v="57"/>
    <x v="0"/>
    <x v="131"/>
    <s v="17 (25)"/>
    <n v="17"/>
    <x v="921"/>
    <s v="Change"/>
  </r>
  <r>
    <x v="37"/>
    <x v="5"/>
    <x v="0"/>
    <x v="91"/>
    <s v="12 (26)"/>
    <n v="14"/>
    <x v="922"/>
    <s v="Zaleilah"/>
  </r>
  <r>
    <x v="37"/>
    <x v="12"/>
    <x v="0"/>
    <x v="52"/>
    <s v="13 (26)"/>
    <n v="14"/>
    <x v="923"/>
    <s v="It's My Life"/>
  </r>
  <r>
    <x v="37"/>
    <x v="13"/>
    <x v="0"/>
    <x v="123"/>
    <s v="12 (26)"/>
    <n v="6"/>
    <x v="920"/>
    <s v="Miracle"/>
  </r>
  <r>
    <x v="37"/>
    <x v="6"/>
    <x v="0"/>
    <x v="146"/>
    <s v="15 (27)"/>
    <n v="20"/>
    <x v="924"/>
    <s v="De La Capat / All Over Again"/>
  </r>
  <r>
    <x v="37"/>
    <x v="15"/>
    <x v="0"/>
    <x v="223"/>
    <s v="7 (26)"/>
    <n v="20"/>
    <x v="925"/>
    <s v="Yodel It!"/>
  </r>
  <r>
    <x v="37"/>
    <x v="16"/>
    <x v="0"/>
    <x v="52"/>
    <s v="18 (25)"/>
    <n v="2"/>
    <x v="926"/>
    <s v="Llбmame"/>
  </r>
  <r>
    <x v="38"/>
    <x v="49"/>
    <x v="1"/>
    <x v="80"/>
    <s v="9 (25)"/>
    <n v="23"/>
    <x v="927"/>
    <s v="Vechni Stranik"/>
  </r>
  <r>
    <x v="38"/>
    <x v="50"/>
    <x v="1"/>
    <x v="75"/>
    <s v="17 (23)"/>
    <n v="6"/>
    <x v="928"/>
    <s v="Kolybelnaya Dlya Vulkana"/>
  </r>
  <r>
    <x v="38"/>
    <x v="52"/>
    <x v="1"/>
    <x v="66"/>
    <s v="15 (25)"/>
    <n v="20"/>
    <x v="929"/>
    <s v="Primadonna"/>
  </r>
  <r>
    <x v="38"/>
    <x v="54"/>
    <x v="1"/>
    <x v="181"/>
    <s v="2 (24)"/>
    <n v="9"/>
    <x v="930"/>
    <s v="Solo"/>
  </r>
  <r>
    <x v="38"/>
    <x v="64"/>
    <x v="1"/>
    <x v="124"/>
    <s v="12 (23)"/>
    <n v="6"/>
    <x v="931"/>
    <s v="Lady Alpine Blue"/>
  </r>
  <r>
    <x v="38"/>
    <x v="55"/>
    <x v="1"/>
    <x v="2"/>
    <s v="10 (24)"/>
    <n v="7"/>
    <x v="932"/>
    <s v="Northern Girl"/>
  </r>
  <r>
    <x v="38"/>
    <x v="56"/>
    <x v="1"/>
    <x v="203"/>
    <s v="3 (26)"/>
    <n v="11"/>
    <x v="933"/>
    <s v="Ne Ver', Ne Boisia"/>
  </r>
  <r>
    <x v="38"/>
    <x v="0"/>
    <x v="0"/>
    <x v="50"/>
    <s v="11 (24)"/>
    <n v="14"/>
    <x v="934"/>
    <s v="Believe Me"/>
  </r>
  <r>
    <x v="38"/>
    <x v="1"/>
    <x v="0"/>
    <x v="9"/>
    <s v="15 (24)"/>
    <n v="20"/>
    <x v="935"/>
    <s v="Nobody Hurt No One"/>
  </r>
  <r>
    <x v="38"/>
    <x v="10"/>
    <x v="0"/>
    <x v="224"/>
    <s v="2 (24)"/>
    <n v="10"/>
    <x v="936"/>
    <s v="Never Let You Go"/>
  </r>
  <r>
    <x v="38"/>
    <x v="11"/>
    <x v="0"/>
    <x v="61"/>
    <s v="3 (24)"/>
    <n v="15"/>
    <x v="937"/>
    <s v="Song # 1"/>
  </r>
  <r>
    <x v="38"/>
    <x v="2"/>
    <x v="0"/>
    <x v="225"/>
    <s v="1 (25)"/>
    <n v="24"/>
    <x v="936"/>
    <s v="Believe"/>
  </r>
  <r>
    <x v="38"/>
    <x v="3"/>
    <x v="0"/>
    <x v="100"/>
    <s v="11 (25)"/>
    <n v="10"/>
    <x v="938"/>
    <s v="Mamo"/>
  </r>
  <r>
    <x v="38"/>
    <x v="4"/>
    <x v="0"/>
    <x v="8"/>
    <s v="11 (25)"/>
    <n v="20"/>
    <x v="939"/>
    <s v="Lost And Forgotten"/>
  </r>
  <r>
    <x v="38"/>
    <x v="57"/>
    <x v="0"/>
    <x v="131"/>
    <s v="16 (25)"/>
    <n v="10"/>
    <x v="940"/>
    <s v="Get You"/>
  </r>
  <r>
    <x v="38"/>
    <x v="5"/>
    <x v="0"/>
    <x v="226"/>
    <s v="2 (26)"/>
    <n v="6"/>
    <x v="941"/>
    <s v="Party For Everybody"/>
  </r>
  <r>
    <x v="38"/>
    <x v="12"/>
    <x v="0"/>
    <x v="16"/>
    <s v="5 (26)"/>
    <n v="10"/>
    <x v="942"/>
    <s v="What If"/>
  </r>
  <r>
    <x v="38"/>
    <x v="13"/>
    <x v="0"/>
    <x v="189"/>
    <s v="7 (26)"/>
    <n v="15"/>
    <x v="943"/>
    <s v="Shine"/>
  </r>
  <r>
    <x v="38"/>
    <x v="6"/>
    <x v="0"/>
    <x v="227"/>
    <s v="2 (27)"/>
    <n v="25"/>
    <x v="944"/>
    <s v="A Million Voices"/>
  </r>
  <r>
    <x v="38"/>
    <x v="14"/>
    <x v="0"/>
    <x v="228"/>
    <s v="3 (26)"/>
    <n v="18"/>
    <x v="945"/>
    <s v="You Are The Only One"/>
  </r>
  <r>
    <x v="38"/>
    <x v="8"/>
    <x v="0"/>
    <x v="229"/>
    <s v="3 (26)"/>
    <n v="5"/>
    <x v="945"/>
    <s v="Scream"/>
  </r>
  <r>
    <x v="38"/>
    <x v="9"/>
    <x v="0"/>
    <x v="230"/>
    <s v="9 (26)"/>
    <n v="5"/>
    <x v="946"/>
    <s v="Russian Woman"/>
  </r>
  <r>
    <x v="39"/>
    <x v="13"/>
    <x v="0"/>
    <x v="39"/>
    <s v="24 (26)"/>
    <n v="25"/>
    <x v="947"/>
    <s v="Maybe (Forse)"/>
  </r>
  <r>
    <x v="39"/>
    <x v="8"/>
    <x v="0"/>
    <x v="131"/>
    <s v="19 (26)"/>
    <n v="7"/>
    <x v="948"/>
    <s v="Say Na Na Na"/>
  </r>
  <r>
    <x v="39"/>
    <x v="9"/>
    <x v="0"/>
    <x v="115"/>
    <s v="22 (26)"/>
    <n v="26"/>
    <x v="949"/>
    <s v="Adrenalina"/>
  </r>
  <r>
    <x v="40"/>
    <x v="11"/>
    <x v="0"/>
    <x v="197"/>
    <s v="1 (24)"/>
    <n v="17"/>
    <x v="950"/>
    <s v="Molitva"/>
  </r>
  <r>
    <x v="40"/>
    <x v="2"/>
    <x v="0"/>
    <x v="231"/>
    <s v="6 (25)"/>
    <n v="23"/>
    <x v="951"/>
    <s v="Oro"/>
  </r>
  <r>
    <x v="40"/>
    <x v="4"/>
    <x v="0"/>
    <x v="123"/>
    <s v="13 (25)"/>
    <n v="8"/>
    <x v="952"/>
    <s v="Ovo Je Balkan"/>
  </r>
  <r>
    <x v="40"/>
    <x v="57"/>
    <x v="0"/>
    <x v="120"/>
    <s v="14 (25)"/>
    <n v="24"/>
    <x v="953"/>
    <s v="?aroban"/>
  </r>
  <r>
    <x v="40"/>
    <x v="5"/>
    <x v="0"/>
    <x v="232"/>
    <s v="3 (26)"/>
    <n v="24"/>
    <x v="954"/>
    <s v="Nije Ljubav Stvar"/>
  </r>
  <r>
    <x v="40"/>
    <x v="6"/>
    <x v="0"/>
    <x v="1"/>
    <s v="10 (27)"/>
    <n v="8"/>
    <x v="955"/>
    <s v="Beauty Never Lies"/>
  </r>
  <r>
    <x v="40"/>
    <x v="14"/>
    <x v="0"/>
    <x v="116"/>
    <s v="18 (26)"/>
    <n v="15"/>
    <x v="956"/>
    <s v="Goodbye (Shelter)"/>
  </r>
  <r>
    <x v="40"/>
    <x v="7"/>
    <x v="0"/>
    <x v="233"/>
    <s v="19 (26)"/>
    <n v="10"/>
    <x v="957"/>
    <s v="Nova Deca"/>
  </r>
  <r>
    <x v="40"/>
    <x v="8"/>
    <x v="0"/>
    <x v="189"/>
    <s v="18 (26)"/>
    <n v="23"/>
    <x v="958"/>
    <s v="Kruna"/>
  </r>
  <r>
    <x v="40"/>
    <x v="9"/>
    <x v="0"/>
    <x v="217"/>
    <s v="15 (26)"/>
    <n v="8"/>
    <x v="959"/>
    <s v="Loco Loco"/>
  </r>
  <r>
    <x v="40"/>
    <x v="16"/>
    <x v="0"/>
    <x v="234"/>
    <s v="5 (25)"/>
    <n v="24"/>
    <x v="960"/>
    <s v="In Corpore Sano"/>
  </r>
  <r>
    <x v="41"/>
    <x v="0"/>
    <x v="0"/>
    <x v="235"/>
    <s v="2 (24)"/>
    <n v="5"/>
    <x v="954"/>
    <s v="Lane Moje"/>
  </r>
  <r>
    <x v="41"/>
    <x v="1"/>
    <x v="0"/>
    <x v="179"/>
    <s v="7 (24)"/>
    <n v="12"/>
    <x v="961"/>
    <s v="Zauvijek Moja"/>
  </r>
  <r>
    <x v="42"/>
    <x v="49"/>
    <x v="1"/>
    <x v="121"/>
    <s v="19 (25)"/>
    <n v="15"/>
    <x v="962"/>
    <s v="Nekovecnб Piesen"/>
  </r>
  <r>
    <x v="42"/>
    <x v="51"/>
    <x v="1"/>
    <x v="49"/>
    <s v="18 (23)"/>
    <n v="22"/>
    <x v="963"/>
    <s v="Kэm Nбs Mбљ"/>
  </r>
  <r>
    <x v="42"/>
    <x v="63"/>
    <x v="1"/>
    <x v="27"/>
    <s v="21 (25)"/>
    <n v="6"/>
    <x v="964"/>
    <s v="Modlitba"/>
  </r>
  <r>
    <x v="43"/>
    <x v="48"/>
    <x v="1"/>
    <x v="55"/>
    <s v="22 (25)"/>
    <n v="16"/>
    <x v="965"/>
    <s v="Tih Dezeven Dan"/>
  </r>
  <r>
    <x v="43"/>
    <x v="50"/>
    <x v="1"/>
    <x v="143"/>
    <s v="7 (23)"/>
    <n v="20"/>
    <x v="966"/>
    <s v="Prisluhni Mi"/>
  </r>
  <r>
    <x v="43"/>
    <x v="51"/>
    <x v="1"/>
    <x v="32"/>
    <s v="21 (23)"/>
    <n v="14"/>
    <x v="149"/>
    <s v="Dan najlepљih sanj"/>
  </r>
  <r>
    <x v="43"/>
    <x v="52"/>
    <x v="1"/>
    <x v="43"/>
    <s v="10 (25)"/>
    <n v="6"/>
    <x v="967"/>
    <s v="Zbudi Se"/>
  </r>
  <r>
    <x v="43"/>
    <x v="63"/>
    <x v="1"/>
    <x v="75"/>
    <s v="18 (25)"/>
    <n v="12"/>
    <x v="968"/>
    <s v="Naj Bogovi Sliљijo"/>
  </r>
  <r>
    <x v="43"/>
    <x v="53"/>
    <x v="1"/>
    <x v="115"/>
    <s v="11 (23)"/>
    <n v="6"/>
    <x v="966"/>
    <s v="For A Thousand Years"/>
  </r>
  <r>
    <x v="43"/>
    <x v="64"/>
    <x v="1"/>
    <x v="80"/>
    <s v="7 (23)"/>
    <n v="17"/>
    <x v="969"/>
    <s v="Energy"/>
  </r>
  <r>
    <x v="43"/>
    <x v="55"/>
    <x v="1"/>
    <x v="66"/>
    <s v="13 (24)"/>
    <n v="22"/>
    <x v="970"/>
    <s v="Samo Ljubezen"/>
  </r>
  <r>
    <x v="43"/>
    <x v="56"/>
    <x v="1"/>
    <x v="81"/>
    <s v="23 (26)"/>
    <n v="26"/>
    <x v="971"/>
    <s v="Nanana"/>
  </r>
  <r>
    <x v="43"/>
    <x v="11"/>
    <x v="0"/>
    <x v="36"/>
    <s v="15 (24)"/>
    <n v="7"/>
    <x v="972"/>
    <s v="Cvet Z Juga"/>
  </r>
  <r>
    <x v="43"/>
    <x v="57"/>
    <x v="0"/>
    <x v="78"/>
    <s v="13 (25)"/>
    <n v="20"/>
    <x v="973"/>
    <s v="No One"/>
  </r>
  <r>
    <x v="43"/>
    <x v="13"/>
    <x v="0"/>
    <x v="55"/>
    <s v="25 (26)"/>
    <n v="17"/>
    <x v="974"/>
    <s v="Round and round"/>
  </r>
  <r>
    <x v="43"/>
    <x v="6"/>
    <x v="0"/>
    <x v="97"/>
    <s v="14 (27)"/>
    <n v="1"/>
    <x v="975"/>
    <s v="Here For You"/>
  </r>
  <r>
    <x v="43"/>
    <x v="7"/>
    <x v="0"/>
    <x v="41"/>
    <s v="22 (26)"/>
    <n v="3"/>
    <x v="976"/>
    <s v="Hvala, ne!"/>
  </r>
  <r>
    <x v="43"/>
    <x v="8"/>
    <x v="0"/>
    <x v="159"/>
    <s v="15 (26)"/>
    <n v="10"/>
    <x v="977"/>
    <s v="Sebi"/>
  </r>
  <r>
    <x v="44"/>
    <x v="21"/>
    <x v="1"/>
    <x v="27"/>
    <s v="9 (16)"/>
    <n v="1"/>
    <x v="978"/>
    <s v="Estando Contigo"/>
  </r>
  <r>
    <x v="44"/>
    <x v="22"/>
    <x v="1"/>
    <x v="31"/>
    <s v="13 (16)"/>
    <n v="3"/>
    <x v="979"/>
    <s v="Llбmame"/>
  </r>
  <r>
    <x v="44"/>
    <x v="23"/>
    <x v="1"/>
    <x v="35"/>
    <s v="12 (16)"/>
    <n v="12"/>
    <x v="980"/>
    <s v="Algo Prodigioso"/>
  </r>
  <r>
    <x v="44"/>
    <x v="24"/>
    <x v="1"/>
    <x v="30"/>
    <s v="12 (16)"/>
    <n v="16"/>
    <x v="981"/>
    <s v="Caracola"/>
  </r>
  <r>
    <x v="44"/>
    <x v="25"/>
    <x v="1"/>
    <x v="31"/>
    <s v="15 (18)"/>
    <n v="3"/>
    <x v="978"/>
    <s v="Quй Bueno, Quй Bueno"/>
  </r>
  <r>
    <x v="44"/>
    <x v="26"/>
    <x v="1"/>
    <x v="55"/>
    <s v="7 (18)"/>
    <n v="11"/>
    <x v="982"/>
    <s v="Yo Soy Aquйl"/>
  </r>
  <r>
    <x v="44"/>
    <x v="27"/>
    <x v="1"/>
    <x v="55"/>
    <s v="6 (17)"/>
    <n v="12"/>
    <x v="982"/>
    <s v="Hablemos Del Amor"/>
  </r>
  <r>
    <x v="44"/>
    <x v="28"/>
    <x v="1"/>
    <x v="99"/>
    <s v="1 (17)"/>
    <n v="15"/>
    <x v="983"/>
    <s v="La, La, La..."/>
  </r>
  <r>
    <x v="44"/>
    <x v="58"/>
    <x v="1"/>
    <x v="71"/>
    <s v="1 (16)"/>
    <n v="3"/>
    <x v="984"/>
    <s v="Vivo Cantando"/>
  </r>
  <r>
    <x v="44"/>
    <x v="59"/>
    <x v="1"/>
    <x v="27"/>
    <s v="4 (12)"/>
    <n v="9"/>
    <x v="985"/>
    <s v="Gwendolyne"/>
  </r>
  <r>
    <x v="44"/>
    <x v="29"/>
    <x v="1"/>
    <x v="236"/>
    <s v="2 (18)"/>
    <n v="6"/>
    <x v="986"/>
    <s v="En Un Mundo Nuevo"/>
  </r>
  <r>
    <x v="44"/>
    <x v="30"/>
    <x v="1"/>
    <x v="73"/>
    <s v="10 (18)"/>
    <n v="4"/>
    <x v="987"/>
    <s v="Amanece"/>
  </r>
  <r>
    <x v="44"/>
    <x v="60"/>
    <x v="1"/>
    <x v="25"/>
    <s v="2 (17)"/>
    <n v="7"/>
    <x v="988"/>
    <s v="Eres Tъ"/>
  </r>
  <r>
    <x v="44"/>
    <x v="61"/>
    <x v="1"/>
    <x v="74"/>
    <s v="9 (17)"/>
    <n v="3"/>
    <x v="989"/>
    <s v="Canta Y Se Feliz"/>
  </r>
  <r>
    <x v="44"/>
    <x v="62"/>
    <x v="1"/>
    <x v="1"/>
    <s v="10 (19)"/>
    <n v="17"/>
    <x v="990"/>
    <s v="Tъ Volverбs"/>
  </r>
  <r>
    <x v="44"/>
    <x v="31"/>
    <x v="1"/>
    <x v="33"/>
    <s v="16 (18)"/>
    <n v="12"/>
    <x v="991"/>
    <s v="Sobran Las Palabras"/>
  </r>
  <r>
    <x v="44"/>
    <x v="32"/>
    <x v="1"/>
    <x v="188"/>
    <s v="9 (18)"/>
    <n v="14"/>
    <x v="992"/>
    <s v="Enseсame A Cantar"/>
  </r>
  <r>
    <x v="44"/>
    <x v="33"/>
    <x v="1"/>
    <x v="52"/>
    <s v="9 (20)"/>
    <n v="7"/>
    <x v="993"/>
    <s v="Bailemos Un Vals"/>
  </r>
  <r>
    <x v="44"/>
    <x v="34"/>
    <x v="1"/>
    <x v="236"/>
    <s v="2 (19)"/>
    <n v="19"/>
    <x v="994"/>
    <s v="Su Canciуn"/>
  </r>
  <r>
    <x v="44"/>
    <x v="35"/>
    <x v="1"/>
    <x v="88"/>
    <s v="12 (19)"/>
    <n v="18"/>
    <x v="995"/>
    <s v="Quй Date Esta Noche"/>
  </r>
  <r>
    <x v="44"/>
    <x v="36"/>
    <x v="1"/>
    <x v="88"/>
    <s v="14 (20)"/>
    <n v="10"/>
    <x v="996"/>
    <s v="Y Solo Tъ"/>
  </r>
  <r>
    <x v="44"/>
    <x v="37"/>
    <x v="1"/>
    <x v="188"/>
    <s v="10 (18)"/>
    <n v="12"/>
    <x v="997"/>
    <s v="Йl"/>
  </r>
  <r>
    <x v="44"/>
    <x v="38"/>
    <x v="1"/>
    <x v="31"/>
    <s v="19 (20)"/>
    <n v="7"/>
    <x v="998"/>
    <s v="їquiйn Maneja Mi Barca?"/>
  </r>
  <r>
    <x v="44"/>
    <x v="39"/>
    <x v="1"/>
    <x v="0"/>
    <s v="3 (19)"/>
    <n v="4"/>
    <x v="999"/>
    <s v="Lady, Lady"/>
  </r>
  <r>
    <x v="44"/>
    <x v="40"/>
    <x v="1"/>
    <x v="122"/>
    <s v="14 (19)"/>
    <n v="5"/>
    <x v="1000"/>
    <s v="La Fiesta Terminу"/>
  </r>
  <r>
    <x v="44"/>
    <x v="41"/>
    <x v="1"/>
    <x v="103"/>
    <s v="10 (20)"/>
    <n v="9"/>
    <x v="1001"/>
    <s v="Valentino"/>
  </r>
  <r>
    <x v="44"/>
    <x v="42"/>
    <x v="1"/>
    <x v="74"/>
    <s v="19 (22)"/>
    <n v="9"/>
    <x v="1002"/>
    <s v="No Estбs Solo"/>
  </r>
  <r>
    <x v="44"/>
    <x v="43"/>
    <x v="1"/>
    <x v="46"/>
    <s v="11 (21)"/>
    <n v="6"/>
    <x v="1003"/>
    <s v="La Chica Que Yo Quiero (made In Spain)"/>
  </r>
  <r>
    <x v="44"/>
    <x v="44"/>
    <x v="1"/>
    <x v="213"/>
    <s v="6 (22)"/>
    <n v="16"/>
    <x v="953"/>
    <s v="Nacida Para Amar"/>
  </r>
  <r>
    <x v="44"/>
    <x v="45"/>
    <x v="1"/>
    <x v="78"/>
    <s v="5 (22)"/>
    <n v="1"/>
    <x v="1004"/>
    <s v="Bandido"/>
  </r>
  <r>
    <x v="44"/>
    <x v="46"/>
    <x v="1"/>
    <x v="151"/>
    <s v="4 (22)"/>
    <n v="19"/>
    <x v="1005"/>
    <s v="Bailar Pegados"/>
  </r>
  <r>
    <x v="44"/>
    <x v="47"/>
    <x v="1"/>
    <x v="124"/>
    <s v="14 (23)"/>
    <n v="1"/>
    <x v="1006"/>
    <s v="Todo Esto Es La Mъsica"/>
  </r>
  <r>
    <x v="44"/>
    <x v="48"/>
    <x v="1"/>
    <x v="46"/>
    <s v="11 (25)"/>
    <n v="22"/>
    <x v="1007"/>
    <s v="Hombres"/>
  </r>
  <r>
    <x v="44"/>
    <x v="49"/>
    <x v="1"/>
    <x v="75"/>
    <s v="18 (25)"/>
    <n v="21"/>
    <x v="1008"/>
    <s v="Ella No Es Ella"/>
  </r>
  <r>
    <x v="44"/>
    <x v="50"/>
    <x v="1"/>
    <x v="151"/>
    <s v="2 (23)"/>
    <n v="9"/>
    <x v="1009"/>
    <s v="Vuelve Conmigo"/>
  </r>
  <r>
    <x v="44"/>
    <x v="51"/>
    <x v="1"/>
    <x v="75"/>
    <s v="20 (23)"/>
    <n v="3"/>
    <x v="1010"/>
    <s v="Ўay, Quй Deseo!"/>
  </r>
  <r>
    <x v="44"/>
    <x v="52"/>
    <x v="1"/>
    <x v="78"/>
    <s v="6 (25)"/>
    <n v="10"/>
    <x v="1011"/>
    <s v="Sin Rencor"/>
  </r>
  <r>
    <x v="44"/>
    <x v="63"/>
    <x v="1"/>
    <x v="138"/>
    <s v="16 (25)"/>
    <n v="4"/>
    <x v="1012"/>
    <s v="їQuй Voy A Hacer Sin Ti?"/>
  </r>
  <r>
    <x v="44"/>
    <x v="53"/>
    <x v="1"/>
    <x v="30"/>
    <s v="23 (23)"/>
    <n v="3"/>
    <x v="1013"/>
    <s v="No Quiero Escuchar"/>
  </r>
  <r>
    <x v="44"/>
    <x v="54"/>
    <x v="1"/>
    <x v="71"/>
    <s v="18 (24)"/>
    <n v="13"/>
    <x v="1014"/>
    <s v="Colgado De Un Sueсo"/>
  </r>
  <r>
    <x v="44"/>
    <x v="64"/>
    <x v="1"/>
    <x v="129"/>
    <s v="6 (23)"/>
    <n v="13"/>
    <x v="1015"/>
    <s v="Dile Que La Quiero"/>
  </r>
  <r>
    <x v="44"/>
    <x v="55"/>
    <x v="1"/>
    <x v="148"/>
    <s v="7 (24)"/>
    <n v="5"/>
    <x v="1016"/>
    <s v="Europe's Living A Celebration"/>
  </r>
  <r>
    <x v="44"/>
    <x v="56"/>
    <x v="1"/>
    <x v="148"/>
    <s v="8 (26)"/>
    <n v="12"/>
    <x v="1017"/>
    <s v="Dime"/>
  </r>
  <r>
    <x v="44"/>
    <x v="0"/>
    <x v="0"/>
    <x v="186"/>
    <s v="10 (24)"/>
    <n v="1"/>
    <x v="1018"/>
    <s v="Para Llenarme De Ti"/>
  </r>
  <r>
    <x v="44"/>
    <x v="1"/>
    <x v="0"/>
    <x v="174"/>
    <s v="21 (24)"/>
    <n v="10"/>
    <x v="1019"/>
    <s v="Brujerнa"/>
  </r>
  <r>
    <x v="44"/>
    <x v="10"/>
    <x v="0"/>
    <x v="71"/>
    <s v="21 (24)"/>
    <n v="6"/>
    <x v="1020"/>
    <s v="Bloody Mary"/>
  </r>
  <r>
    <x v="44"/>
    <x v="11"/>
    <x v="0"/>
    <x v="72"/>
    <s v="20 (24)"/>
    <n v="2"/>
    <x v="1021"/>
    <s v="I Love You Mi Vida"/>
  </r>
  <r>
    <x v="44"/>
    <x v="2"/>
    <x v="0"/>
    <x v="2"/>
    <s v="16 (25)"/>
    <n v="22"/>
    <x v="1022"/>
    <s v="Baila El Chiki Chiki"/>
  </r>
  <r>
    <x v="44"/>
    <x v="3"/>
    <x v="0"/>
    <x v="85"/>
    <s v="23 (25)"/>
    <n v="25"/>
    <x v="1023"/>
    <s v="La Noche Es Para Mн (The Night Is For Me)"/>
  </r>
  <r>
    <x v="44"/>
    <x v="4"/>
    <x v="0"/>
    <x v="51"/>
    <s v="15 (25)"/>
    <n v="2"/>
    <x v="1024"/>
    <s v="Algo Pequeсito"/>
  </r>
  <r>
    <x v="44"/>
    <x v="57"/>
    <x v="0"/>
    <x v="115"/>
    <s v="23 (25)"/>
    <n v="22"/>
    <x v="1025"/>
    <s v="Que Me Quiten Lo Bailao - They Can't Take The Fun Away From Me"/>
  </r>
  <r>
    <x v="44"/>
    <x v="5"/>
    <x v="0"/>
    <x v="45"/>
    <s v="10 (26)"/>
    <n v="19"/>
    <x v="1026"/>
    <s v="Quйdate Conmigo (Stay With Me)"/>
  </r>
  <r>
    <x v="44"/>
    <x v="12"/>
    <x v="0"/>
    <x v="27"/>
    <s v="25 (26)"/>
    <n v="5"/>
    <x v="1027"/>
    <s v="Contigo Hasta El Final (With You Until The End)"/>
  </r>
  <r>
    <x v="44"/>
    <x v="13"/>
    <x v="0"/>
    <x v="95"/>
    <s v="10 (26)"/>
    <n v="19"/>
    <x v="1028"/>
    <s v="Dancing in the rain"/>
  </r>
  <r>
    <x v="44"/>
    <x v="6"/>
    <x v="0"/>
    <x v="121"/>
    <s v="21 (27)"/>
    <n v="21"/>
    <x v="1029"/>
    <s v="Amanecer"/>
  </r>
  <r>
    <x v="44"/>
    <x v="14"/>
    <x v="0"/>
    <x v="131"/>
    <s v="22 (26)"/>
    <n v="19"/>
    <x v="1030"/>
    <s v="Say Yay!"/>
  </r>
  <r>
    <x v="44"/>
    <x v="15"/>
    <x v="0"/>
    <x v="40"/>
    <s v="26 (26)"/>
    <n v="16"/>
    <x v="1031"/>
    <s v="Do It For Your Lover"/>
  </r>
  <r>
    <x v="44"/>
    <x v="7"/>
    <x v="0"/>
    <x v="19"/>
    <s v="23 (26)"/>
    <n v="2"/>
    <x v="1032"/>
    <s v="Tu Canciуn"/>
  </r>
  <r>
    <x v="44"/>
    <x v="8"/>
    <x v="0"/>
    <x v="178"/>
    <s v="22 (26)"/>
    <n v="26"/>
    <x v="1033"/>
    <s v="La Venda"/>
  </r>
  <r>
    <x v="44"/>
    <x v="9"/>
    <x v="0"/>
    <x v="29"/>
    <s v="24 (26)"/>
    <n v="13"/>
    <x v="1034"/>
    <s v="Voy A Quedarme"/>
  </r>
  <r>
    <x v="44"/>
    <x v="16"/>
    <x v="0"/>
    <x v="237"/>
    <s v="3 (25)"/>
    <n v="10"/>
    <x v="1035"/>
    <s v="SloMo"/>
  </r>
  <r>
    <x v="45"/>
    <x v="18"/>
    <x v="1"/>
    <x v="74"/>
    <s v="4 (10)"/>
    <n v="5"/>
    <x v="1036"/>
    <s v="Lilla Stjдrna"/>
  </r>
  <r>
    <x v="45"/>
    <x v="19"/>
    <x v="1"/>
    <x v="28"/>
    <s v="9 (11)"/>
    <n v="7"/>
    <x v="1037"/>
    <s v="Augustin"/>
  </r>
  <r>
    <x v="45"/>
    <x v="20"/>
    <x v="1"/>
    <x v="28"/>
    <s v="10 (13)"/>
    <n v="2"/>
    <x v="393"/>
    <s v="Alla Andra Fеr Varann"/>
  </r>
  <r>
    <x v="45"/>
    <x v="21"/>
    <x v="1"/>
    <x v="35"/>
    <s v="14 (16)"/>
    <n v="7"/>
    <x v="1038"/>
    <s v="April, April"/>
  </r>
  <r>
    <x v="45"/>
    <x v="22"/>
    <x v="1"/>
    <x v="28"/>
    <s v="7 (16)"/>
    <n v="6"/>
    <x v="1039"/>
    <s v="Sol Och Vеr"/>
  </r>
  <r>
    <x v="45"/>
    <x v="23"/>
    <x v="1"/>
    <x v="31"/>
    <s v="13 (16)"/>
    <n v="13"/>
    <x v="1040"/>
    <s v="En Gеng I Stockholm"/>
  </r>
  <r>
    <x v="45"/>
    <x v="25"/>
    <x v="1"/>
    <x v="29"/>
    <s v="10 (18)"/>
    <n v="10"/>
    <x v="1041"/>
    <s v="Absent Friend"/>
  </r>
  <r>
    <x v="45"/>
    <x v="26"/>
    <x v="1"/>
    <x v="32"/>
    <s v="2 (18)"/>
    <n v="10"/>
    <x v="1042"/>
    <s v="Nygammal Vals Eller Hip Man Svinaherde"/>
  </r>
  <r>
    <x v="45"/>
    <x v="27"/>
    <x v="1"/>
    <x v="81"/>
    <s v="8 (17)"/>
    <n v="7"/>
    <x v="1043"/>
    <s v="Som En Drцm"/>
  </r>
  <r>
    <x v="45"/>
    <x v="28"/>
    <x v="1"/>
    <x v="121"/>
    <s v="5 (17)"/>
    <n v="8"/>
    <x v="1044"/>
    <s v="Det Bцrjar Verka Kдrlek, Banne Mej"/>
  </r>
  <r>
    <x v="45"/>
    <x v="58"/>
    <x v="1"/>
    <x v="27"/>
    <s v="9 (16)"/>
    <n v="9"/>
    <x v="1045"/>
    <s v="Judy, Min Vдn"/>
  </r>
  <r>
    <x v="45"/>
    <x v="29"/>
    <x v="1"/>
    <x v="120"/>
    <s v="6 (18)"/>
    <n v="12"/>
    <x v="1046"/>
    <s v="Vita Vidder"/>
  </r>
  <r>
    <x v="45"/>
    <x v="30"/>
    <x v="1"/>
    <x v="221"/>
    <s v="13 (18)"/>
    <n v="14"/>
    <x v="1046"/>
    <s v="Hдrliga Sommardag"/>
  </r>
  <r>
    <x v="45"/>
    <x v="60"/>
    <x v="1"/>
    <x v="127"/>
    <s v="5 (17)"/>
    <n v="12"/>
    <x v="1047"/>
    <s v="You're Summer"/>
  </r>
  <r>
    <x v="45"/>
    <x v="61"/>
    <x v="1"/>
    <x v="110"/>
    <s v="1 (17)"/>
    <n v="8"/>
    <x v="1048"/>
    <s v="Waterloo"/>
  </r>
  <r>
    <x v="45"/>
    <x v="62"/>
    <x v="1"/>
    <x v="123"/>
    <s v="8 (19)"/>
    <n v="18"/>
    <x v="1049"/>
    <s v="Jennie, Jennie"/>
  </r>
  <r>
    <x v="45"/>
    <x v="32"/>
    <x v="1"/>
    <x v="35"/>
    <s v="18 (18)"/>
    <n v="13"/>
    <x v="1050"/>
    <s v="Beatles"/>
  </r>
  <r>
    <x v="45"/>
    <x v="33"/>
    <x v="1"/>
    <x v="53"/>
    <s v="14 (20)"/>
    <n v="20"/>
    <x v="1051"/>
    <s v="Det Blir Alltid Vдrre Framеt Natten"/>
  </r>
  <r>
    <x v="45"/>
    <x v="34"/>
    <x v="1"/>
    <x v="27"/>
    <s v="17 (19)"/>
    <n v="15"/>
    <x v="1052"/>
    <s v="Satellit"/>
  </r>
  <r>
    <x v="45"/>
    <x v="35"/>
    <x v="1"/>
    <x v="133"/>
    <s v="10 (19)"/>
    <n v="8"/>
    <x v="1053"/>
    <s v="Just Nu!"/>
  </r>
  <r>
    <x v="45"/>
    <x v="36"/>
    <x v="1"/>
    <x v="115"/>
    <s v="10 (20)"/>
    <n v="20"/>
    <x v="1051"/>
    <s v="Fеngad I En Drцm"/>
  </r>
  <r>
    <x v="45"/>
    <x v="37"/>
    <x v="1"/>
    <x v="50"/>
    <s v="8 (18)"/>
    <n v="9"/>
    <x v="1054"/>
    <s v="Dag Efter Dag"/>
  </r>
  <r>
    <x v="45"/>
    <x v="38"/>
    <x v="1"/>
    <x v="192"/>
    <s v="3 (20)"/>
    <n v="4"/>
    <x v="1055"/>
    <s v="Frдmling"/>
  </r>
  <r>
    <x v="45"/>
    <x v="39"/>
    <x v="1"/>
    <x v="62"/>
    <s v="1 (19)"/>
    <n v="1"/>
    <x v="1056"/>
    <s v="Diggi-loo Diggy-ley"/>
  </r>
  <r>
    <x v="45"/>
    <x v="40"/>
    <x v="1"/>
    <x v="187"/>
    <s v="3 (19)"/>
    <n v="16"/>
    <x v="1057"/>
    <s v="Bra Vibrationer"/>
  </r>
  <r>
    <x v="45"/>
    <x v="41"/>
    <x v="1"/>
    <x v="144"/>
    <s v="5 (20)"/>
    <n v="17"/>
    <x v="1058"/>
    <s v="E' De' Det Hдr Du Kallar Kдrlek"/>
  </r>
  <r>
    <x v="45"/>
    <x v="42"/>
    <x v="1"/>
    <x v="115"/>
    <s v="12 (22)"/>
    <n v="6"/>
    <x v="1059"/>
    <s v="Boogaloo"/>
  </r>
  <r>
    <x v="45"/>
    <x v="43"/>
    <x v="1"/>
    <x v="188"/>
    <s v="12 (21)"/>
    <n v="2"/>
    <x v="1045"/>
    <s v="Stad I Ljus"/>
  </r>
  <r>
    <x v="45"/>
    <x v="44"/>
    <x v="1"/>
    <x v="102"/>
    <s v="4 (22)"/>
    <n v="10"/>
    <x v="1060"/>
    <s v="En Dag"/>
  </r>
  <r>
    <x v="45"/>
    <x v="45"/>
    <x v="1"/>
    <x v="110"/>
    <s v="16 (22)"/>
    <n v="18"/>
    <x v="1061"/>
    <s v="Som En Vind"/>
  </r>
  <r>
    <x v="45"/>
    <x v="46"/>
    <x v="1"/>
    <x v="5"/>
    <s v="1 (22)"/>
    <n v="8"/>
    <x v="1062"/>
    <s v="Fеngad Av En Stormvind"/>
  </r>
  <r>
    <x v="45"/>
    <x v="47"/>
    <x v="1"/>
    <x v="55"/>
    <s v="22 (23)"/>
    <n v="7"/>
    <x v="1063"/>
    <s v="I Morgon дr En Annan Dag"/>
  </r>
  <r>
    <x v="45"/>
    <x v="48"/>
    <x v="1"/>
    <x v="189"/>
    <s v="7 (25)"/>
    <n v="13"/>
    <x v="1064"/>
    <s v="Eloпse"/>
  </r>
  <r>
    <x v="45"/>
    <x v="49"/>
    <x v="1"/>
    <x v="3"/>
    <s v="13 (25)"/>
    <n v="1"/>
    <x v="1065"/>
    <s v="Stjдrnorna"/>
  </r>
  <r>
    <x v="45"/>
    <x v="50"/>
    <x v="1"/>
    <x v="37"/>
    <s v="3 (23)"/>
    <n v="18"/>
    <x v="1066"/>
    <s v="Se Pе Mej"/>
  </r>
  <r>
    <x v="45"/>
    <x v="51"/>
    <x v="1"/>
    <x v="37"/>
    <s v="3 (23)"/>
    <n v="23"/>
    <x v="1067"/>
    <s v="Den Vilda"/>
  </r>
  <r>
    <x v="45"/>
    <x v="52"/>
    <x v="1"/>
    <x v="122"/>
    <s v="14 (25)"/>
    <n v="16"/>
    <x v="1068"/>
    <s v="Bara Hon дlskar Mig"/>
  </r>
  <r>
    <x v="45"/>
    <x v="63"/>
    <x v="1"/>
    <x v="1"/>
    <s v="10 (25)"/>
    <n v="19"/>
    <x v="1069"/>
    <s v="Kдrleken дr"/>
  </r>
  <r>
    <x v="45"/>
    <x v="53"/>
    <x v="1"/>
    <x v="238"/>
    <s v="1 (23)"/>
    <n v="15"/>
    <x v="1070"/>
    <s v="Take Me To Your Heaven"/>
  </r>
  <r>
    <x v="45"/>
    <x v="54"/>
    <x v="1"/>
    <x v="213"/>
    <s v="7 (24)"/>
    <n v="18"/>
    <x v="1071"/>
    <s v="When Spirits Are Calling My Name"/>
  </r>
  <r>
    <x v="45"/>
    <x v="64"/>
    <x v="1"/>
    <x v="37"/>
    <s v="5 (23)"/>
    <n v="7"/>
    <x v="1072"/>
    <s v="Listen To Your Heartbeat"/>
  </r>
  <r>
    <x v="45"/>
    <x v="55"/>
    <x v="1"/>
    <x v="123"/>
    <s v="8 (24)"/>
    <n v="12"/>
    <x v="1073"/>
    <s v="Never Let It Go"/>
  </r>
  <r>
    <x v="45"/>
    <x v="56"/>
    <x v="1"/>
    <x v="156"/>
    <s v="5 (26)"/>
    <n v="25"/>
    <x v="1074"/>
    <s v="Give Me Your Love"/>
  </r>
  <r>
    <x v="45"/>
    <x v="0"/>
    <x v="0"/>
    <x v="108"/>
    <s v="5 (24)"/>
    <n v="24"/>
    <x v="1075"/>
    <s v="It Hurts"/>
  </r>
  <r>
    <x v="45"/>
    <x v="1"/>
    <x v="0"/>
    <x v="165"/>
    <s v="19 (24)"/>
    <n v="14"/>
    <x v="1076"/>
    <s v="Las Vegas"/>
  </r>
  <r>
    <x v="45"/>
    <x v="10"/>
    <x v="0"/>
    <x v="108"/>
    <s v="5 (24)"/>
    <n v="22"/>
    <x v="1062"/>
    <s v="Invincible"/>
  </r>
  <r>
    <x v="45"/>
    <x v="11"/>
    <x v="0"/>
    <x v="103"/>
    <s v="18 (24)"/>
    <n v="12"/>
    <x v="1077"/>
    <s v="The Worrying Kind"/>
  </r>
  <r>
    <x v="45"/>
    <x v="2"/>
    <x v="0"/>
    <x v="133"/>
    <s v="18 (25)"/>
    <n v="15"/>
    <x v="1078"/>
    <s v="Hero"/>
  </r>
  <r>
    <x v="45"/>
    <x v="3"/>
    <x v="0"/>
    <x v="66"/>
    <s v="21 (25)"/>
    <n v="4"/>
    <x v="1079"/>
    <s v="La Voix"/>
  </r>
  <r>
    <x v="45"/>
    <x v="57"/>
    <x v="0"/>
    <x v="239"/>
    <s v="3 (25)"/>
    <n v="7"/>
    <x v="1080"/>
    <s v="Popular"/>
  </r>
  <r>
    <x v="45"/>
    <x v="5"/>
    <x v="0"/>
    <x v="240"/>
    <s v="1 (26)"/>
    <n v="17"/>
    <x v="1081"/>
    <s v="Euphoria"/>
  </r>
  <r>
    <x v="45"/>
    <x v="12"/>
    <x v="0"/>
    <x v="4"/>
    <s v="14 (26)"/>
    <n v="16"/>
    <x v="1082"/>
    <s v="You"/>
  </r>
  <r>
    <x v="45"/>
    <x v="13"/>
    <x v="0"/>
    <x v="169"/>
    <s v="3 (26)"/>
    <n v="13"/>
    <x v="1083"/>
    <s v="Undo"/>
  </r>
  <r>
    <x v="45"/>
    <x v="6"/>
    <x v="0"/>
    <x v="241"/>
    <s v="1 (27)"/>
    <n v="10"/>
    <x v="1084"/>
    <s v="Heroes"/>
  </r>
  <r>
    <x v="45"/>
    <x v="14"/>
    <x v="0"/>
    <x v="242"/>
    <s v="5 (26)"/>
    <n v="9"/>
    <x v="1085"/>
    <s v="If I Were Sorry"/>
  </r>
  <r>
    <x v="45"/>
    <x v="15"/>
    <x v="0"/>
    <x v="243"/>
    <s v="5 (26)"/>
    <n v="24"/>
    <x v="1086"/>
    <s v="I Can't Go On"/>
  </r>
  <r>
    <x v="45"/>
    <x v="7"/>
    <x v="0"/>
    <x v="244"/>
    <s v="7 (26)"/>
    <n v="20"/>
    <x v="1087"/>
    <s v="Dance You Off"/>
  </r>
  <r>
    <x v="45"/>
    <x v="8"/>
    <x v="0"/>
    <x v="193"/>
    <s v="5 (26)"/>
    <n v="9"/>
    <x v="1088"/>
    <s v="Too Late For Love"/>
  </r>
  <r>
    <x v="45"/>
    <x v="9"/>
    <x v="0"/>
    <x v="126"/>
    <s v="14 (26)"/>
    <n v="25"/>
    <x v="1089"/>
    <s v="Voices"/>
  </r>
  <r>
    <x v="45"/>
    <x v="16"/>
    <x v="0"/>
    <x v="245"/>
    <s v="4 (25)"/>
    <n v="20"/>
    <x v="1090"/>
    <s v="Hold Me Closer"/>
  </r>
  <r>
    <x v="46"/>
    <x v="17"/>
    <x v="1"/>
    <x v="40"/>
    <s v="8 (10)"/>
    <n v="10"/>
    <x v="1091"/>
    <s v="L'enfant Que J'йtais"/>
  </r>
  <r>
    <x v="46"/>
    <x v="18"/>
    <x v="1"/>
    <x v="110"/>
    <s v="2 (10)"/>
    <n v="10"/>
    <x v="1091"/>
    <s v="Giorgio"/>
  </r>
  <r>
    <x v="46"/>
    <x v="19"/>
    <x v="1"/>
    <x v="39"/>
    <s v="4 (11)"/>
    <n v="8"/>
    <x v="1092"/>
    <s v="Irgendwoher"/>
  </r>
  <r>
    <x v="46"/>
    <x v="20"/>
    <x v="1"/>
    <x v="40"/>
    <s v="8 (13)"/>
    <n v="9"/>
    <x v="1093"/>
    <s v="Cielo E Terra"/>
  </r>
  <r>
    <x v="46"/>
    <x v="21"/>
    <x v="1"/>
    <x v="32"/>
    <s v="3 (16)"/>
    <n v="10"/>
    <x v="1094"/>
    <s v="Nous Aurons Demain"/>
  </r>
  <r>
    <x v="46"/>
    <x v="22"/>
    <x v="1"/>
    <x v="35"/>
    <s v="10 (16)"/>
    <n v="11"/>
    <x v="316"/>
    <s v="Le Retour"/>
  </r>
  <r>
    <x v="46"/>
    <x v="23"/>
    <x v="1"/>
    <x v="77"/>
    <s v="2 (16)"/>
    <n v="10"/>
    <x v="1095"/>
    <s v="T'en Va Pas"/>
  </r>
  <r>
    <x v="46"/>
    <x v="24"/>
    <x v="1"/>
    <x v="31"/>
    <s v="13 (16)"/>
    <n v="14"/>
    <x v="1093"/>
    <s v="I Miei Pensieri"/>
  </r>
  <r>
    <x v="46"/>
    <x v="25"/>
    <x v="1"/>
    <x v="27"/>
    <s v="8 (18)"/>
    <n v="18"/>
    <x v="1096"/>
    <s v="Non а Jamais Sans Toi"/>
  </r>
  <r>
    <x v="46"/>
    <x v="26"/>
    <x v="1"/>
    <x v="44"/>
    <s v="6 (18)"/>
    <n v="12"/>
    <x v="1097"/>
    <s v="Ne Vois-tu Pas?"/>
  </r>
  <r>
    <x v="46"/>
    <x v="27"/>
    <x v="1"/>
    <x v="31"/>
    <s v="17 (17)"/>
    <n v="6"/>
    <x v="672"/>
    <s v="Quel Coeur Vas-tu Briser?"/>
  </r>
  <r>
    <x v="46"/>
    <x v="28"/>
    <x v="1"/>
    <x v="35"/>
    <s v="13 (17)"/>
    <n v="6"/>
    <x v="1098"/>
    <s v="Guardando Il Sole"/>
  </r>
  <r>
    <x v="46"/>
    <x v="58"/>
    <x v="1"/>
    <x v="79"/>
    <s v="5 (16)"/>
    <n v="11"/>
    <x v="1099"/>
    <s v="Bonjour, Bonjour"/>
  </r>
  <r>
    <x v="46"/>
    <x v="59"/>
    <x v="1"/>
    <x v="27"/>
    <s v="4 (12)"/>
    <n v="2"/>
    <x v="1100"/>
    <s v="Retour"/>
  </r>
  <r>
    <x v="46"/>
    <x v="29"/>
    <x v="1"/>
    <x v="144"/>
    <s v="12 (18)"/>
    <n v="4"/>
    <x v="1101"/>
    <s v="Les Illusions De Nos Vingt Ans"/>
  </r>
  <r>
    <x v="46"/>
    <x v="30"/>
    <x v="1"/>
    <x v="213"/>
    <s v="8 (18)"/>
    <n v="8"/>
    <x v="1102"/>
    <s v="C'est La Chanson De Mon Amour"/>
  </r>
  <r>
    <x v="46"/>
    <x v="60"/>
    <x v="1"/>
    <x v="18"/>
    <s v="12 (17)"/>
    <n v="8"/>
    <x v="1103"/>
    <s v="Je Me Vais Marier, Marie"/>
  </r>
  <r>
    <x v="46"/>
    <x v="61"/>
    <x v="1"/>
    <x v="26"/>
    <s v="14 (17)"/>
    <n v="15"/>
    <x v="1104"/>
    <s v="Mein Ruf Nach Dir"/>
  </r>
  <r>
    <x v="46"/>
    <x v="62"/>
    <x v="1"/>
    <x v="131"/>
    <s v="6 (19)"/>
    <n v="7"/>
    <x v="1105"/>
    <s v="Mikado"/>
  </r>
  <r>
    <x v="46"/>
    <x v="31"/>
    <x v="1"/>
    <x v="100"/>
    <s v="4 (18)"/>
    <n v="2"/>
    <x v="1101"/>
    <s v="Djambo, Djambo"/>
  </r>
  <r>
    <x v="46"/>
    <x v="32"/>
    <x v="1"/>
    <x v="91"/>
    <s v="6 (18)"/>
    <n v="12"/>
    <x v="1106"/>
    <s v="Swiss Lady"/>
  </r>
  <r>
    <x v="46"/>
    <x v="33"/>
    <x v="1"/>
    <x v="52"/>
    <s v="9 (20)"/>
    <n v="9"/>
    <x v="1107"/>
    <s v="Vivre"/>
  </r>
  <r>
    <x v="46"/>
    <x v="34"/>
    <x v="1"/>
    <x v="43"/>
    <s v="10 (19)"/>
    <n v="8"/>
    <x v="1108"/>
    <s v="Trцdler Und Co."/>
  </r>
  <r>
    <x v="46"/>
    <x v="35"/>
    <x v="1"/>
    <x v="155"/>
    <s v="4 (19)"/>
    <n v="9"/>
    <x v="1109"/>
    <s v="Cinйma"/>
  </r>
  <r>
    <x v="46"/>
    <x v="36"/>
    <x v="1"/>
    <x v="152"/>
    <s v="4 (20)"/>
    <n v="19"/>
    <x v="1101"/>
    <s v="Io Senza Tei"/>
  </r>
  <r>
    <x v="46"/>
    <x v="37"/>
    <x v="1"/>
    <x v="45"/>
    <s v="3 (18)"/>
    <n v="7"/>
    <x v="1110"/>
    <s v="Amour On T'aime"/>
  </r>
  <r>
    <x v="46"/>
    <x v="38"/>
    <x v="1"/>
    <x v="174"/>
    <s v="15 (20)"/>
    <n v="8"/>
    <x v="1111"/>
    <s v="Io Cosм Non Ci Sto"/>
  </r>
  <r>
    <x v="46"/>
    <x v="39"/>
    <x v="1"/>
    <x v="165"/>
    <s v="16 (19)"/>
    <n v="17"/>
    <x v="1112"/>
    <s v="Welche Farbe Hat Der Sonnenschein"/>
  </r>
  <r>
    <x v="46"/>
    <x v="40"/>
    <x v="1"/>
    <x v="97"/>
    <s v="12 (19)"/>
    <n v="15"/>
    <x v="1113"/>
    <s v="Piano Piano"/>
  </r>
  <r>
    <x v="46"/>
    <x v="41"/>
    <x v="1"/>
    <x v="162"/>
    <s v="2 (20)"/>
    <n v="10"/>
    <x v="1114"/>
    <s v="Pas Pour Moi"/>
  </r>
  <r>
    <x v="46"/>
    <x v="42"/>
    <x v="1"/>
    <x v="53"/>
    <s v="17 (22)"/>
    <n v="22"/>
    <x v="1115"/>
    <s v="Moitiй Moitiй"/>
  </r>
  <r>
    <x v="46"/>
    <x v="43"/>
    <x v="1"/>
    <x v="179"/>
    <s v="1 (21)"/>
    <n v="9"/>
    <x v="1116"/>
    <s v="Ne Partez Pas Sans Moi"/>
  </r>
  <r>
    <x v="46"/>
    <x v="44"/>
    <x v="1"/>
    <x v="133"/>
    <s v="13 (22)"/>
    <n v="18"/>
    <x v="1117"/>
    <s v="Viver Senza Tei"/>
  </r>
  <r>
    <x v="46"/>
    <x v="45"/>
    <x v="1"/>
    <x v="103"/>
    <s v="11 (22)"/>
    <n v="12"/>
    <x v="1118"/>
    <s v="Musik Klingt In Die Welt Hinaus"/>
  </r>
  <r>
    <x v="46"/>
    <x v="46"/>
    <x v="1"/>
    <x v="112"/>
    <s v="5 (22)"/>
    <n v="5"/>
    <x v="1119"/>
    <s v="Canzone Per Te"/>
  </r>
  <r>
    <x v="46"/>
    <x v="47"/>
    <x v="1"/>
    <x v="48"/>
    <s v="15 (23)"/>
    <n v="13"/>
    <x v="1120"/>
    <s v="Mister Music Man"/>
  </r>
  <r>
    <x v="46"/>
    <x v="48"/>
    <x v="1"/>
    <x v="206"/>
    <s v="3 (25)"/>
    <n v="4"/>
    <x v="1121"/>
    <s v="Moi, Tout Simplement"/>
  </r>
  <r>
    <x v="46"/>
    <x v="49"/>
    <x v="1"/>
    <x v="121"/>
    <s v="19 (25)"/>
    <n v="9"/>
    <x v="1122"/>
    <s v="Sto Pregando"/>
  </r>
  <r>
    <x v="46"/>
    <x v="51"/>
    <x v="1"/>
    <x v="86"/>
    <s v="16 (23)"/>
    <n v="9"/>
    <x v="1123"/>
    <s v="Mon Coeur L'aime"/>
  </r>
  <r>
    <x v="46"/>
    <x v="52"/>
    <x v="1"/>
    <x v="40"/>
    <s v="22 (25)"/>
    <n v="7"/>
    <x v="1124"/>
    <s v="Dentro Di Me"/>
  </r>
  <r>
    <x v="46"/>
    <x v="63"/>
    <x v="1"/>
    <x v="31"/>
    <s v="25 (25)"/>
    <n v="5"/>
    <x v="1125"/>
    <s v="Lass Ihn"/>
  </r>
  <r>
    <x v="46"/>
    <x v="54"/>
    <x v="1"/>
    <x v="39"/>
    <s v="20 (24)"/>
    <n v="16"/>
    <x v="1126"/>
    <s v="La Vita Cos'и?"/>
  </r>
  <r>
    <x v="46"/>
    <x v="55"/>
    <x v="1"/>
    <x v="121"/>
    <s v="22 (24)"/>
    <n v="11"/>
    <x v="1127"/>
    <s v="Dans Le Jardin De Mon Вme"/>
  </r>
  <r>
    <x v="46"/>
    <x v="1"/>
    <x v="0"/>
    <x v="119"/>
    <s v="8 (24)"/>
    <n v="22"/>
    <x v="1128"/>
    <s v="Cool Vibes"/>
  </r>
  <r>
    <x v="46"/>
    <x v="10"/>
    <x v="0"/>
    <x v="165"/>
    <s v="16 (24)"/>
    <n v="1"/>
    <x v="1129"/>
    <s v="If We All Give A Little"/>
  </r>
  <r>
    <x v="46"/>
    <x v="57"/>
    <x v="0"/>
    <x v="49"/>
    <s v="25 (25)"/>
    <n v="13"/>
    <x v="1130"/>
    <s v="In Love For A While"/>
  </r>
  <r>
    <x v="46"/>
    <x v="13"/>
    <x v="0"/>
    <x v="41"/>
    <s v="13 (26)"/>
    <n v="20"/>
    <x v="1131"/>
    <s v="Hunter Of Stars"/>
  </r>
  <r>
    <x v="46"/>
    <x v="8"/>
    <x v="0"/>
    <x v="246"/>
    <s v="4 (26)"/>
    <n v="24"/>
    <x v="1132"/>
    <s v="She Got Me"/>
  </r>
  <r>
    <x v="46"/>
    <x v="9"/>
    <x v="0"/>
    <x v="247"/>
    <s v="3 (26)"/>
    <n v="11"/>
    <x v="1133"/>
    <s v="Tout l'Univers"/>
  </r>
  <r>
    <x v="46"/>
    <x v="16"/>
    <x v="0"/>
    <x v="144"/>
    <s v="17 (25)"/>
    <n v="5"/>
    <x v="1134"/>
    <s v="Boys Do Cry"/>
  </r>
  <r>
    <x v="47"/>
    <x v="62"/>
    <x v="1"/>
    <x v="26"/>
    <s v="19 (19)"/>
    <n v="13"/>
    <x v="1135"/>
    <s v="Seninle Bir Dakika"/>
  </r>
  <r>
    <x v="47"/>
    <x v="33"/>
    <x v="1"/>
    <x v="35"/>
    <s v="18 (20)"/>
    <n v="12"/>
    <x v="1136"/>
    <s v="Sevinзe"/>
  </r>
  <r>
    <x v="47"/>
    <x v="35"/>
    <x v="1"/>
    <x v="85"/>
    <s v="15 (19)"/>
    <n v="2"/>
    <x v="1137"/>
    <s v="Petr'oil"/>
  </r>
  <r>
    <x v="47"/>
    <x v="36"/>
    <x v="1"/>
    <x v="55"/>
    <s v="18 (20)"/>
    <n v="2"/>
    <x v="1138"/>
    <s v="Dцnme Dolap"/>
  </r>
  <r>
    <x v="47"/>
    <x v="37"/>
    <x v="1"/>
    <x v="42"/>
    <s v="15 (18)"/>
    <n v="5"/>
    <x v="1139"/>
    <s v="Hani"/>
  </r>
  <r>
    <x v="47"/>
    <x v="38"/>
    <x v="1"/>
    <x v="31"/>
    <s v="19 (20)"/>
    <n v="6"/>
    <x v="1140"/>
    <s v="Opera"/>
  </r>
  <r>
    <x v="47"/>
    <x v="39"/>
    <x v="1"/>
    <x v="124"/>
    <s v="12 (19)"/>
    <n v="15"/>
    <x v="1141"/>
    <s v="Halay"/>
  </r>
  <r>
    <x v="47"/>
    <x v="40"/>
    <x v="1"/>
    <x v="122"/>
    <s v="14 (19)"/>
    <n v="7"/>
    <x v="1142"/>
    <s v="Di Dai Di Dai Dai (a'sik Oldum)"/>
  </r>
  <r>
    <x v="47"/>
    <x v="41"/>
    <x v="1"/>
    <x v="1"/>
    <s v="9 (20)"/>
    <n v="8"/>
    <x v="1143"/>
    <s v="Halley"/>
  </r>
  <r>
    <x v="47"/>
    <x v="42"/>
    <x v="1"/>
    <x v="31"/>
    <s v="22 (22)"/>
    <n v="10"/>
    <x v="1144"/>
    <s v="Sarkim Sevgi ьstьne"/>
  </r>
  <r>
    <x v="47"/>
    <x v="43"/>
    <x v="1"/>
    <x v="124"/>
    <s v="15 (21)"/>
    <n v="5"/>
    <x v="1142"/>
    <s v="Sufi (hey Ya Hey)"/>
  </r>
  <r>
    <x v="47"/>
    <x v="44"/>
    <x v="1"/>
    <x v="40"/>
    <s v="21 (22)"/>
    <n v="5"/>
    <x v="1145"/>
    <s v="Bana Bana"/>
  </r>
  <r>
    <x v="47"/>
    <x v="45"/>
    <x v="1"/>
    <x v="138"/>
    <s v="17 (22)"/>
    <n v="4"/>
    <x v="1146"/>
    <s v="Gцzlerinin Hapsindeyim"/>
  </r>
  <r>
    <x v="47"/>
    <x v="46"/>
    <x v="1"/>
    <x v="114"/>
    <s v="12 (22)"/>
    <n v="10"/>
    <x v="1147"/>
    <s v="Iki Dakika"/>
  </r>
  <r>
    <x v="47"/>
    <x v="47"/>
    <x v="1"/>
    <x v="75"/>
    <s v="19 (23)"/>
    <n v="4"/>
    <x v="1148"/>
    <s v="Yaz Bitti"/>
  </r>
  <r>
    <x v="47"/>
    <x v="48"/>
    <x v="1"/>
    <x v="74"/>
    <s v="21 (25)"/>
    <n v="2"/>
    <x v="1149"/>
    <s v="Esmer Yarim"/>
  </r>
  <r>
    <x v="47"/>
    <x v="50"/>
    <x v="1"/>
    <x v="138"/>
    <s v="16 (23)"/>
    <n v="10"/>
    <x v="1150"/>
    <s v="Sev!"/>
  </r>
  <r>
    <x v="47"/>
    <x v="51"/>
    <x v="1"/>
    <x v="9"/>
    <s v="12 (23)"/>
    <n v="1"/>
    <x v="1151"/>
    <s v="Besinзi Mevsim"/>
  </r>
  <r>
    <x v="47"/>
    <x v="52"/>
    <x v="1"/>
    <x v="152"/>
    <s v="3 (25)"/>
    <n v="2"/>
    <x v="1152"/>
    <s v="Dinle"/>
  </r>
  <r>
    <x v="47"/>
    <x v="63"/>
    <x v="1"/>
    <x v="130"/>
    <s v="14 (25)"/>
    <n v="24"/>
    <x v="1153"/>
    <s v="Unutamazsin"/>
  </r>
  <r>
    <x v="47"/>
    <x v="53"/>
    <x v="1"/>
    <x v="138"/>
    <s v="16 (23)"/>
    <n v="7"/>
    <x v="1154"/>
    <s v="Dцn Artik"/>
  </r>
  <r>
    <x v="47"/>
    <x v="54"/>
    <x v="1"/>
    <x v="248"/>
    <s v="10 (24)"/>
    <n v="22"/>
    <x v="1155"/>
    <s v="Yorgunum Anla"/>
  </r>
  <r>
    <x v="47"/>
    <x v="64"/>
    <x v="1"/>
    <x v="15"/>
    <s v="11 (23)"/>
    <n v="15"/>
    <x v="1156"/>
    <s v="Sevgiliye Son"/>
  </r>
  <r>
    <x v="47"/>
    <x v="55"/>
    <x v="1"/>
    <x v="99"/>
    <s v="16 (24)"/>
    <n v="19"/>
    <x v="1157"/>
    <s v="Leylaklar Soldu Kalbinde"/>
  </r>
  <r>
    <x v="47"/>
    <x v="56"/>
    <x v="1"/>
    <x v="249"/>
    <s v="1 (26)"/>
    <n v="4"/>
    <x v="1158"/>
    <s v="Everyway That I Can"/>
  </r>
  <r>
    <x v="47"/>
    <x v="0"/>
    <x v="0"/>
    <x v="134"/>
    <s v="4 (24)"/>
    <n v="22"/>
    <x v="1159"/>
    <s v="For Real"/>
  </r>
  <r>
    <x v="47"/>
    <x v="1"/>
    <x v="0"/>
    <x v="13"/>
    <s v="13 (24)"/>
    <n v="6"/>
    <x v="1160"/>
    <s v="Rimi Rimi Ley"/>
  </r>
  <r>
    <x v="47"/>
    <x v="10"/>
    <x v="0"/>
    <x v="100"/>
    <s v="11 (24)"/>
    <n v="23"/>
    <x v="1161"/>
    <s v="Superstar"/>
  </r>
  <r>
    <x v="47"/>
    <x v="11"/>
    <x v="0"/>
    <x v="238"/>
    <s v="4 (24)"/>
    <n v="22"/>
    <x v="1162"/>
    <s v="Shake It Up Shekerim"/>
  </r>
  <r>
    <x v="47"/>
    <x v="2"/>
    <x v="0"/>
    <x v="11"/>
    <s v="7 (25)"/>
    <n v="12"/>
    <x v="1163"/>
    <s v="Deli"/>
  </r>
  <r>
    <x v="47"/>
    <x v="3"/>
    <x v="0"/>
    <x v="135"/>
    <s v="4 (25)"/>
    <n v="18"/>
    <x v="1164"/>
    <s v="Dьm Tek Tek"/>
  </r>
  <r>
    <x v="47"/>
    <x v="4"/>
    <x v="0"/>
    <x v="108"/>
    <s v="2 (25)"/>
    <n v="14"/>
    <x v="1165"/>
    <s v="We Could Be The Same"/>
  </r>
  <r>
    <x v="47"/>
    <x v="5"/>
    <x v="0"/>
    <x v="250"/>
    <s v="7 (26)"/>
    <n v="18"/>
    <x v="1166"/>
    <s v="Love Me Back"/>
  </r>
  <r>
    <x v="48"/>
    <x v="56"/>
    <x v="1"/>
    <x v="165"/>
    <s v="14 (26)"/>
    <n v="16"/>
    <x v="1167"/>
    <s v="Hasta La Vista"/>
  </r>
  <r>
    <x v="48"/>
    <x v="0"/>
    <x v="0"/>
    <x v="251"/>
    <s v="1 (24)"/>
    <n v="10"/>
    <x v="1168"/>
    <s v="Wild Dances"/>
  </r>
  <r>
    <x v="48"/>
    <x v="1"/>
    <x v="0"/>
    <x v="165"/>
    <s v="19 (24)"/>
    <n v="16"/>
    <x v="1169"/>
    <s v="Razom Nas Bahato"/>
  </r>
  <r>
    <x v="48"/>
    <x v="10"/>
    <x v="0"/>
    <x v="62"/>
    <s v="7 (24)"/>
    <n v="18"/>
    <x v="1170"/>
    <s v="Show Me Your Love"/>
  </r>
  <r>
    <x v="48"/>
    <x v="11"/>
    <x v="0"/>
    <x v="252"/>
    <s v="2 (24)"/>
    <n v="18"/>
    <x v="1171"/>
    <s v="Dancing Lasha Tumbai"/>
  </r>
  <r>
    <x v="48"/>
    <x v="2"/>
    <x v="0"/>
    <x v="167"/>
    <s v="2 (25)"/>
    <n v="18"/>
    <x v="1172"/>
    <s v="Shady Lady"/>
  </r>
  <r>
    <x v="48"/>
    <x v="3"/>
    <x v="0"/>
    <x v="129"/>
    <s v="12 (25)"/>
    <n v="21"/>
    <x v="1173"/>
    <s v="Be my Valentine! (Anti-crisis Girl)"/>
  </r>
  <r>
    <x v="48"/>
    <x v="4"/>
    <x v="0"/>
    <x v="172"/>
    <s v="10 (25)"/>
    <n v="17"/>
    <x v="1174"/>
    <s v="Sweet People"/>
  </r>
  <r>
    <x v="48"/>
    <x v="57"/>
    <x v="0"/>
    <x v="253"/>
    <s v="4 (25)"/>
    <n v="23"/>
    <x v="1175"/>
    <s v="Angel"/>
  </r>
  <r>
    <x v="48"/>
    <x v="5"/>
    <x v="0"/>
    <x v="52"/>
    <s v="15 (26)"/>
    <n v="25"/>
    <x v="1176"/>
    <s v="Be My Guest"/>
  </r>
  <r>
    <x v="48"/>
    <x v="12"/>
    <x v="0"/>
    <x v="232"/>
    <s v="3 (26)"/>
    <n v="22"/>
    <x v="1177"/>
    <s v="Gravity"/>
  </r>
  <r>
    <x v="48"/>
    <x v="13"/>
    <x v="0"/>
    <x v="233"/>
    <s v="6 (26)"/>
    <n v="1"/>
    <x v="1178"/>
    <s v="Tick - Tock"/>
  </r>
  <r>
    <x v="48"/>
    <x v="14"/>
    <x v="0"/>
    <x v="254"/>
    <s v="1 (26)"/>
    <n v="21"/>
    <x v="1179"/>
    <n v="1944"/>
  </r>
  <r>
    <x v="48"/>
    <x v="15"/>
    <x v="0"/>
    <x v="122"/>
    <s v="24 (26)"/>
    <n v="22"/>
    <x v="1180"/>
    <s v="Time"/>
  </r>
  <r>
    <x v="48"/>
    <x v="7"/>
    <x v="0"/>
    <x v="255"/>
    <s v="17 (26)"/>
    <n v="1"/>
    <x v="1181"/>
    <s v="Under The Ladder"/>
  </r>
  <r>
    <x v="48"/>
    <x v="9"/>
    <x v="0"/>
    <x v="246"/>
    <s v="5 (26)"/>
    <n v="19"/>
    <x v="1182"/>
    <s v="Shum"/>
  </r>
  <r>
    <x v="48"/>
    <x v="16"/>
    <x v="0"/>
    <x v="256"/>
    <s v="1 (25)"/>
    <n v="12"/>
    <x v="1183"/>
    <s v="Stefania"/>
  </r>
  <r>
    <x v="49"/>
    <x v="17"/>
    <x v="1"/>
    <x v="29"/>
    <s v="7 (10)"/>
    <n v="3"/>
    <x v="1184"/>
    <s v="All"/>
  </r>
  <r>
    <x v="49"/>
    <x v="19"/>
    <x v="1"/>
    <x v="32"/>
    <s v="2 (11)"/>
    <n v="10"/>
    <x v="1185"/>
    <s v="Sing Little Birdie"/>
  </r>
  <r>
    <x v="49"/>
    <x v="20"/>
    <x v="1"/>
    <x v="130"/>
    <s v="2 (13)"/>
    <n v="1"/>
    <x v="1186"/>
    <s v="Looking High, High, High"/>
  </r>
  <r>
    <x v="49"/>
    <x v="21"/>
    <x v="1"/>
    <x v="110"/>
    <s v="2 (16)"/>
    <n v="15"/>
    <x v="1187"/>
    <s v="Are You Sure?"/>
  </r>
  <r>
    <x v="49"/>
    <x v="22"/>
    <x v="1"/>
    <x v="74"/>
    <s v="4 (16)"/>
    <n v="13"/>
    <x v="1188"/>
    <s v="Ring-a-ding Girl"/>
  </r>
  <r>
    <x v="49"/>
    <x v="23"/>
    <x v="1"/>
    <x v="174"/>
    <s v="4 (16)"/>
    <n v="1"/>
    <x v="1188"/>
    <s v="Say Wonderful Things"/>
  </r>
  <r>
    <x v="49"/>
    <x v="24"/>
    <x v="1"/>
    <x v="75"/>
    <s v="2 (16)"/>
    <n v="8"/>
    <x v="1189"/>
    <s v="I Love The Little Things"/>
  </r>
  <r>
    <x v="49"/>
    <x v="25"/>
    <x v="1"/>
    <x v="53"/>
    <s v="2 (18)"/>
    <n v="2"/>
    <x v="1190"/>
    <s v="I Belong"/>
  </r>
  <r>
    <x v="49"/>
    <x v="26"/>
    <x v="1"/>
    <x v="27"/>
    <s v="9 (18)"/>
    <n v="18"/>
    <x v="1191"/>
    <s v="A Man Without Love"/>
  </r>
  <r>
    <x v="49"/>
    <x v="27"/>
    <x v="1"/>
    <x v="133"/>
    <s v="1 (17)"/>
    <n v="11"/>
    <x v="1192"/>
    <s v="Puppet On A String"/>
  </r>
  <r>
    <x v="49"/>
    <x v="28"/>
    <x v="1"/>
    <x v="174"/>
    <s v="2 (17)"/>
    <n v="12"/>
    <x v="1193"/>
    <s v="Congratulations"/>
  </r>
  <r>
    <x v="49"/>
    <x v="58"/>
    <x v="1"/>
    <x v="71"/>
    <s v="1 (16)"/>
    <n v="7"/>
    <x v="1194"/>
    <s v="Boom Bang-a-bang"/>
  </r>
  <r>
    <x v="49"/>
    <x v="59"/>
    <x v="1"/>
    <x v="53"/>
    <s v="2 (12)"/>
    <n v="7"/>
    <x v="1195"/>
    <s v="Knock, Knock (who's There?)"/>
  </r>
  <r>
    <x v="49"/>
    <x v="29"/>
    <x v="1"/>
    <x v="109"/>
    <s v="4 (18)"/>
    <n v="9"/>
    <x v="1196"/>
    <s v="Jack In The Box"/>
  </r>
  <r>
    <x v="49"/>
    <x v="30"/>
    <x v="1"/>
    <x v="190"/>
    <s v="2 (18)"/>
    <n v="5"/>
    <x v="1197"/>
    <s v="Beg, Steal Or Borrow"/>
  </r>
  <r>
    <x v="49"/>
    <x v="60"/>
    <x v="1"/>
    <x v="202"/>
    <s v="3 (17)"/>
    <n v="15"/>
    <x v="1193"/>
    <s v="Power To All Our Friends"/>
  </r>
  <r>
    <x v="49"/>
    <x v="61"/>
    <x v="1"/>
    <x v="39"/>
    <s v="4 (17)"/>
    <n v="2"/>
    <x v="1198"/>
    <s v="Long Live Love"/>
  </r>
  <r>
    <x v="49"/>
    <x v="62"/>
    <x v="1"/>
    <x v="11"/>
    <s v="2 (19)"/>
    <n v="9"/>
    <x v="1199"/>
    <s v="Let Me Be The One"/>
  </r>
  <r>
    <x v="49"/>
    <x v="31"/>
    <x v="1"/>
    <x v="203"/>
    <s v="1 (18)"/>
    <n v="1"/>
    <x v="1200"/>
    <s v="Save Your Kisses For Me"/>
  </r>
  <r>
    <x v="49"/>
    <x v="32"/>
    <x v="1"/>
    <x v="152"/>
    <s v="2 (18)"/>
    <n v="9"/>
    <x v="1201"/>
    <s v="Rock Bottom"/>
  </r>
  <r>
    <x v="49"/>
    <x v="33"/>
    <x v="1"/>
    <x v="19"/>
    <s v="11 (20)"/>
    <n v="8"/>
    <x v="1202"/>
    <s v="The Bad Old Days"/>
  </r>
  <r>
    <x v="49"/>
    <x v="34"/>
    <x v="1"/>
    <x v="118"/>
    <s v="7 (19)"/>
    <n v="17"/>
    <x v="1203"/>
    <s v="Mary Ann"/>
  </r>
  <r>
    <x v="49"/>
    <x v="35"/>
    <x v="1"/>
    <x v="0"/>
    <s v="3 (19)"/>
    <n v="13"/>
    <x v="1204"/>
    <s v="Love Enough For Two"/>
  </r>
  <r>
    <x v="49"/>
    <x v="36"/>
    <x v="1"/>
    <x v="150"/>
    <s v="1 (20)"/>
    <n v="14"/>
    <x v="1205"/>
    <s v="Making Your Mind Up"/>
  </r>
  <r>
    <x v="49"/>
    <x v="37"/>
    <x v="1"/>
    <x v="129"/>
    <s v="7 (18)"/>
    <n v="4"/>
    <x v="1206"/>
    <s v="One Step Further"/>
  </r>
  <r>
    <x v="49"/>
    <x v="38"/>
    <x v="1"/>
    <x v="18"/>
    <s v="6 (20)"/>
    <n v="3"/>
    <x v="1207"/>
    <s v="I'm Never Giving Up"/>
  </r>
  <r>
    <x v="49"/>
    <x v="39"/>
    <x v="1"/>
    <x v="47"/>
    <s v="7 (19)"/>
    <n v="6"/>
    <x v="1208"/>
    <s v="Love Games"/>
  </r>
  <r>
    <x v="49"/>
    <x v="40"/>
    <x v="1"/>
    <x v="37"/>
    <s v="4 (19)"/>
    <n v="14"/>
    <x v="1209"/>
    <s v="Love Is..."/>
  </r>
  <r>
    <x v="49"/>
    <x v="41"/>
    <x v="1"/>
    <x v="123"/>
    <s v="7 (20)"/>
    <n v="5"/>
    <x v="1210"/>
    <s v="Runner In The Night"/>
  </r>
  <r>
    <x v="49"/>
    <x v="42"/>
    <x v="1"/>
    <x v="133"/>
    <s v="13 (22)"/>
    <n v="14"/>
    <x v="1211"/>
    <s v="Only The Light"/>
  </r>
  <r>
    <x v="49"/>
    <x v="43"/>
    <x v="1"/>
    <x v="150"/>
    <s v="2 (21)"/>
    <n v="4"/>
    <x v="1212"/>
    <s v="Go"/>
  </r>
  <r>
    <x v="49"/>
    <x v="44"/>
    <x v="1"/>
    <x v="255"/>
    <s v="2 (22)"/>
    <n v="7"/>
    <x v="1213"/>
    <s v="Why Do I Always Get It Wrong"/>
  </r>
  <r>
    <x v="49"/>
    <x v="45"/>
    <x v="1"/>
    <x v="186"/>
    <s v="6 (22)"/>
    <n v="7"/>
    <x v="626"/>
    <s v="Give A Little Love Back To The World"/>
  </r>
  <r>
    <x v="49"/>
    <x v="46"/>
    <x v="1"/>
    <x v="133"/>
    <s v="10 (22)"/>
    <n v="20"/>
    <x v="1214"/>
    <s v="A Message To Your Heart"/>
  </r>
  <r>
    <x v="49"/>
    <x v="47"/>
    <x v="1"/>
    <x v="168"/>
    <s v="2 (23)"/>
    <n v="16"/>
    <x v="1215"/>
    <s v="One Step Out Of Time"/>
  </r>
  <r>
    <x v="49"/>
    <x v="48"/>
    <x v="1"/>
    <x v="203"/>
    <s v="2 (25)"/>
    <n v="19"/>
    <x v="1216"/>
    <s v="Better The Devil You Know"/>
  </r>
  <r>
    <x v="49"/>
    <x v="49"/>
    <x v="1"/>
    <x v="47"/>
    <s v="10 (25)"/>
    <n v="6"/>
    <x v="1217"/>
    <s v="We Will Be Free (lonely Symphony)"/>
  </r>
  <r>
    <x v="49"/>
    <x v="50"/>
    <x v="1"/>
    <x v="129"/>
    <s v="10 (23)"/>
    <n v="15"/>
    <x v="1218"/>
    <s v="Love City Groove"/>
  </r>
  <r>
    <x v="49"/>
    <x v="51"/>
    <x v="1"/>
    <x v="131"/>
    <s v="8 (23)"/>
    <n v="2"/>
    <x v="1219"/>
    <s v="Just A Little Bit"/>
  </r>
  <r>
    <x v="49"/>
    <x v="52"/>
    <x v="1"/>
    <x v="257"/>
    <s v="1 (25)"/>
    <n v="24"/>
    <x v="1220"/>
    <s v="Love Shine A Light"/>
  </r>
  <r>
    <x v="49"/>
    <x v="63"/>
    <x v="1"/>
    <x v="107"/>
    <s v="2 (25)"/>
    <n v="16"/>
    <x v="1221"/>
    <s v="Where Are You?"/>
  </r>
  <r>
    <x v="49"/>
    <x v="53"/>
    <x v="1"/>
    <x v="88"/>
    <s v="12 (23)"/>
    <n v="5"/>
    <x v="1222"/>
    <s v="Say It Again"/>
  </r>
  <r>
    <x v="49"/>
    <x v="54"/>
    <x v="1"/>
    <x v="174"/>
    <s v="16 (24)"/>
    <n v="3"/>
    <x v="1223"/>
    <s v="Don't Play That Song Again"/>
  </r>
  <r>
    <x v="49"/>
    <x v="64"/>
    <x v="1"/>
    <x v="174"/>
    <s v="15 (23)"/>
    <n v="16"/>
    <x v="1224"/>
    <s v="No Dream Impossible"/>
  </r>
  <r>
    <x v="49"/>
    <x v="55"/>
    <x v="1"/>
    <x v="132"/>
    <s v="3 (24)"/>
    <n v="2"/>
    <x v="1225"/>
    <s v="Come Back"/>
  </r>
  <r>
    <x v="49"/>
    <x v="56"/>
    <x v="1"/>
    <x v="31"/>
    <s v="26 (26)"/>
    <n v="15"/>
    <x v="1226"/>
    <s v="Cry Baby"/>
  </r>
  <r>
    <x v="49"/>
    <x v="0"/>
    <x v="0"/>
    <x v="99"/>
    <s v="16 (24)"/>
    <n v="20"/>
    <x v="1227"/>
    <s v="Hold On To Our Love"/>
  </r>
  <r>
    <x v="49"/>
    <x v="1"/>
    <x v="0"/>
    <x v="71"/>
    <s v="22 (24)"/>
    <n v="2"/>
    <x v="1228"/>
    <s v="Touch My Fire"/>
  </r>
  <r>
    <x v="49"/>
    <x v="10"/>
    <x v="0"/>
    <x v="130"/>
    <s v="19 (24)"/>
    <n v="15"/>
    <x v="1229"/>
    <s v="Teenage Life"/>
  </r>
  <r>
    <x v="49"/>
    <x v="11"/>
    <x v="0"/>
    <x v="49"/>
    <s v="22 (24)"/>
    <n v="19"/>
    <x v="1230"/>
    <s v="Flying The Flag (for You)"/>
  </r>
  <r>
    <x v="49"/>
    <x v="2"/>
    <x v="0"/>
    <x v="39"/>
    <s v="25 (25)"/>
    <n v="2"/>
    <x v="1231"/>
    <s v="Even IF"/>
  </r>
  <r>
    <x v="49"/>
    <x v="3"/>
    <x v="0"/>
    <x v="22"/>
    <s v="5 (25)"/>
    <n v="23"/>
    <x v="1232"/>
    <s v="It's My Time"/>
  </r>
  <r>
    <x v="49"/>
    <x v="4"/>
    <x v="0"/>
    <x v="74"/>
    <s v="25 (25)"/>
    <n v="12"/>
    <x v="1233"/>
    <s v="That Sounds Good To Me"/>
  </r>
  <r>
    <x v="49"/>
    <x v="57"/>
    <x v="0"/>
    <x v="37"/>
    <s v="11 (25)"/>
    <n v="14"/>
    <x v="1234"/>
    <s v="I Can"/>
  </r>
  <r>
    <x v="49"/>
    <x v="5"/>
    <x v="0"/>
    <x v="44"/>
    <s v="25 (26)"/>
    <n v="1"/>
    <x v="1235"/>
    <s v="Love Will Set You Free"/>
  </r>
  <r>
    <x v="49"/>
    <x v="12"/>
    <x v="0"/>
    <x v="85"/>
    <s v="19 (26)"/>
    <n v="15"/>
    <x v="1236"/>
    <s v="Believe In Me"/>
  </r>
  <r>
    <x v="49"/>
    <x v="13"/>
    <x v="0"/>
    <x v="77"/>
    <s v="17 (26)"/>
    <n v="26"/>
    <x v="1237"/>
    <s v="Children of the Universe"/>
  </r>
  <r>
    <x v="49"/>
    <x v="6"/>
    <x v="0"/>
    <x v="40"/>
    <s v="24 (27)"/>
    <n v="5"/>
    <x v="1238"/>
    <s v="Still In Love With You"/>
  </r>
  <r>
    <x v="49"/>
    <x v="14"/>
    <x v="0"/>
    <x v="4"/>
    <s v="24 (26)"/>
    <n v="25"/>
    <x v="1239"/>
    <s v="You're Not Alone"/>
  </r>
  <r>
    <x v="49"/>
    <x v="15"/>
    <x v="0"/>
    <x v="132"/>
    <s v="15 (26)"/>
    <n v="18"/>
    <x v="1240"/>
    <s v="Never Give Up On You"/>
  </r>
  <r>
    <x v="49"/>
    <x v="7"/>
    <x v="0"/>
    <x v="3"/>
    <s v="24 (26)"/>
    <n v="9"/>
    <x v="1241"/>
    <s v="Storm"/>
  </r>
  <r>
    <x v="49"/>
    <x v="8"/>
    <x v="0"/>
    <x v="33"/>
    <s v="26 (26)"/>
    <n v="16"/>
    <x v="1242"/>
    <s v="Bigger Than Us"/>
  </r>
  <r>
    <x v="49"/>
    <x v="9"/>
    <x v="0"/>
    <x v="31"/>
    <s v="26 (26)"/>
    <n v="9"/>
    <x v="1243"/>
    <s v="Embers"/>
  </r>
  <r>
    <x v="49"/>
    <x v="16"/>
    <x v="0"/>
    <x v="258"/>
    <s v="2 (25)"/>
    <n v="22"/>
    <x v="1244"/>
    <s v="SPACE MAN"/>
  </r>
  <r>
    <x v="50"/>
    <x v="21"/>
    <x v="1"/>
    <x v="55"/>
    <s v="8 (16)"/>
    <n v="5"/>
    <x v="1245"/>
    <s v="Neke Davne Zvezde"/>
  </r>
  <r>
    <x v="50"/>
    <x v="22"/>
    <x v="1"/>
    <x v="74"/>
    <s v="4 (16)"/>
    <n v="12"/>
    <x v="1246"/>
    <s v="Ne Pali Svetlo U Sumrak"/>
  </r>
  <r>
    <x v="50"/>
    <x v="23"/>
    <x v="1"/>
    <x v="26"/>
    <s v="11 (16)"/>
    <n v="9"/>
    <x v="1247"/>
    <s v="Brodovi"/>
  </r>
  <r>
    <x v="50"/>
    <x v="24"/>
    <x v="1"/>
    <x v="31"/>
    <s v="13 (16)"/>
    <n v="13"/>
    <x v="1248"/>
    <s v="Zivot Je Sklopio Krug"/>
  </r>
  <r>
    <x v="50"/>
    <x v="25"/>
    <x v="1"/>
    <x v="35"/>
    <s v="12 (18)"/>
    <n v="17"/>
    <x v="1247"/>
    <s v="Ceznja"/>
  </r>
  <r>
    <x v="50"/>
    <x v="26"/>
    <x v="1"/>
    <x v="55"/>
    <s v="7 (18)"/>
    <n v="5"/>
    <x v="1249"/>
    <s v="Brez Besed"/>
  </r>
  <r>
    <x v="50"/>
    <x v="27"/>
    <x v="1"/>
    <x v="81"/>
    <s v="8 (17)"/>
    <n v="15"/>
    <x v="1250"/>
    <s v="Vse Roze Sveta"/>
  </r>
  <r>
    <x v="50"/>
    <x v="28"/>
    <x v="1"/>
    <x v="27"/>
    <s v="7 (17)"/>
    <n v="17"/>
    <x v="1251"/>
    <s v="Jedan Dan"/>
  </r>
  <r>
    <x v="50"/>
    <x v="58"/>
    <x v="1"/>
    <x v="40"/>
    <s v="13 (16)"/>
    <n v="1"/>
    <x v="1252"/>
    <s v="Pozdrav Svijetu"/>
  </r>
  <r>
    <x v="50"/>
    <x v="59"/>
    <x v="1"/>
    <x v="28"/>
    <s v="11 (12)"/>
    <n v="4"/>
    <x v="1253"/>
    <s v="Pridi, Dala Ti Bom Cvet"/>
  </r>
  <r>
    <x v="50"/>
    <x v="29"/>
    <x v="1"/>
    <x v="51"/>
    <s v="14 (18)"/>
    <n v="16"/>
    <x v="1254"/>
    <s v="Tvoj Djecak Je Tuzan"/>
  </r>
  <r>
    <x v="50"/>
    <x v="30"/>
    <x v="1"/>
    <x v="186"/>
    <s v="9 (18)"/>
    <n v="13"/>
    <x v="737"/>
    <s v="Muzika I Ti"/>
  </r>
  <r>
    <x v="50"/>
    <x v="60"/>
    <x v="1"/>
    <x v="52"/>
    <s v="15 (17)"/>
    <n v="9"/>
    <x v="1255"/>
    <s v="Gori Vatra"/>
  </r>
  <r>
    <x v="50"/>
    <x v="61"/>
    <x v="1"/>
    <x v="29"/>
    <s v="12 (17)"/>
    <n v="7"/>
    <x v="1256"/>
    <s v="Generacija 42"/>
  </r>
  <r>
    <x v="50"/>
    <x v="62"/>
    <x v="1"/>
    <x v="86"/>
    <s v="13 (19)"/>
    <n v="8"/>
    <x v="1257"/>
    <s v="Dan Ljubezni"/>
  </r>
  <r>
    <x v="50"/>
    <x v="31"/>
    <x v="1"/>
    <x v="74"/>
    <s v="17 (18)"/>
    <n v="18"/>
    <x v="1258"/>
    <s v="Ne Mogu Skriti Svoju Bol"/>
  </r>
  <r>
    <x v="50"/>
    <x v="36"/>
    <x v="1"/>
    <x v="146"/>
    <s v="15 (20)"/>
    <n v="7"/>
    <x v="1259"/>
    <s v="Leila"/>
  </r>
  <r>
    <x v="50"/>
    <x v="37"/>
    <x v="1"/>
    <x v="138"/>
    <s v="14 (18)"/>
    <n v="14"/>
    <x v="1260"/>
    <s v="Halo Halo"/>
  </r>
  <r>
    <x v="50"/>
    <x v="38"/>
    <x v="1"/>
    <x v="25"/>
    <s v="4 (20)"/>
    <n v="12"/>
    <x v="1261"/>
    <s v="Dzuli"/>
  </r>
  <r>
    <x v="50"/>
    <x v="39"/>
    <x v="1"/>
    <x v="53"/>
    <s v="18 (19)"/>
    <n v="12"/>
    <x v="1262"/>
    <s v="Ciao Amore"/>
  </r>
  <r>
    <x v="50"/>
    <x v="41"/>
    <x v="1"/>
    <x v="67"/>
    <s v="11 (20)"/>
    <n v="2"/>
    <x v="164"/>
    <s v="Zeljo Moja"/>
  </r>
  <r>
    <x v="50"/>
    <x v="42"/>
    <x v="1"/>
    <x v="13"/>
    <s v="4 (22)"/>
    <n v="21"/>
    <x v="1263"/>
    <s v="Ja Sam Za Ples"/>
  </r>
  <r>
    <x v="50"/>
    <x v="43"/>
    <x v="1"/>
    <x v="186"/>
    <s v="6 (21)"/>
    <n v="21"/>
    <x v="1264"/>
    <s v="Mangup"/>
  </r>
  <r>
    <x v="50"/>
    <x v="44"/>
    <x v="1"/>
    <x v="179"/>
    <s v="1 (22)"/>
    <n v="22"/>
    <x v="1265"/>
    <s v="Rock Me"/>
  </r>
  <r>
    <x v="50"/>
    <x v="45"/>
    <x v="1"/>
    <x v="148"/>
    <s v="7 (22)"/>
    <n v="15"/>
    <x v="1266"/>
    <s v="Hajde Da Ludujemo"/>
  </r>
  <r>
    <x v="50"/>
    <x v="46"/>
    <x v="1"/>
    <x v="30"/>
    <s v="21 (22)"/>
    <n v="1"/>
    <x v="1267"/>
    <s v="Brazil"/>
  </r>
  <r>
    <x v="50"/>
    <x v="47"/>
    <x v="1"/>
    <x v="114"/>
    <s v="13 (23)"/>
    <n v="20"/>
    <x v="1268"/>
    <s v="Ljubim Te Pesmam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chartFormat="8">
  <location ref="A13:B24" firstHeaderRow="1" firstDataRow="1" firstDataCol="1"/>
  <pivotFields count="8">
    <pivotField axis="axisRow" showAll="0" measureFilter="1" sortType="descending" maxSubtotal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27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max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3">
        <item x="0"/>
        <item x="1"/>
        <item t="default"/>
      </items>
    </pivotField>
    <pivotField dataField="1" numFmtId="1" showAll="0" defaultSubtotal="0">
      <items count="259">
        <item x="31"/>
        <item x="30"/>
        <item x="35"/>
        <item x="26"/>
        <item x="28"/>
        <item x="40"/>
        <item x="29"/>
        <item x="81"/>
        <item x="27"/>
        <item x="55"/>
        <item x="74"/>
        <item x="33"/>
        <item x="44"/>
        <item x="79"/>
        <item x="39"/>
        <item x="121"/>
        <item x="32"/>
        <item x="75"/>
        <item x="71"/>
        <item x="49"/>
        <item x="42"/>
        <item x="138"/>
        <item x="86"/>
        <item x="85"/>
        <item x="110"/>
        <item x="130"/>
        <item x="53"/>
        <item x="96"/>
        <item x="174"/>
        <item x="99"/>
        <item x="165"/>
        <item x="34"/>
        <item x="48"/>
        <item x="66"/>
        <item x="6"/>
        <item x="146"/>
        <item x="122"/>
        <item x="124"/>
        <item x="88"/>
        <item x="97"/>
        <item x="77"/>
        <item x="15"/>
        <item x="113"/>
        <item x="72"/>
        <item x="114"/>
        <item x="117"/>
        <item x="84"/>
        <item x="133"/>
        <item x="3"/>
        <item x="67"/>
        <item x="115"/>
        <item x="103"/>
        <item x="188"/>
        <item x="1"/>
        <item x="178"/>
        <item x="2"/>
        <item x="83"/>
        <item x="9"/>
        <item x="46"/>
        <item x="248"/>
        <item x="43"/>
        <item x="19"/>
        <item x="4"/>
        <item x="47"/>
        <item x="41"/>
        <item x="52"/>
        <item x="36"/>
        <item x="50"/>
        <item x="51"/>
        <item x="76"/>
        <item x="80"/>
        <item x="91"/>
        <item x="123"/>
        <item x="118"/>
        <item x="95"/>
        <item x="221"/>
        <item x="129"/>
        <item x="131"/>
        <item x="144"/>
        <item x="18"/>
        <item x="38"/>
        <item x="148"/>
        <item x="140"/>
        <item x="73"/>
        <item x="143"/>
        <item x="120"/>
        <item x="98"/>
        <item x="186"/>
        <item x="213"/>
        <item x="189"/>
        <item x="8"/>
        <item x="100"/>
        <item x="13"/>
        <item x="58"/>
        <item x="127"/>
        <item x="153"/>
        <item x="78"/>
        <item x="45"/>
        <item x="109"/>
        <item x="23"/>
        <item x="37"/>
        <item x="54"/>
        <item x="217"/>
        <item x="187"/>
        <item x="155"/>
        <item x="159"/>
        <item x="0"/>
        <item x="156"/>
        <item x="172"/>
        <item x="126"/>
        <item x="102"/>
        <item x="132"/>
        <item x="250"/>
        <item x="233"/>
        <item x="190"/>
        <item x="116"/>
        <item x="236"/>
        <item x="68"/>
        <item x="112"/>
        <item x="151"/>
        <item x="69"/>
        <item x="152"/>
        <item x="87"/>
        <item x="202"/>
        <item x="175"/>
        <item x="25"/>
        <item x="192"/>
        <item x="119"/>
        <item x="10"/>
        <item x="255"/>
        <item x="111"/>
        <item x="60"/>
        <item x="137"/>
        <item x="158"/>
        <item x="150"/>
        <item x="179"/>
        <item x="11"/>
        <item x="168"/>
        <item x="162"/>
        <item x="14"/>
        <item x="154"/>
        <item x="90"/>
        <item x="219"/>
        <item x="62"/>
        <item x="5"/>
        <item x="149"/>
        <item x="206"/>
        <item x="136"/>
        <item x="64"/>
        <item x="57"/>
        <item x="170"/>
        <item x="198"/>
        <item x="184"/>
        <item x="181"/>
        <item x="104"/>
        <item x="218"/>
        <item x="253"/>
        <item x="231"/>
        <item x="161"/>
        <item x="183"/>
        <item x="238"/>
        <item x="203"/>
        <item x="89"/>
        <item x="107"/>
        <item x="249"/>
        <item x="108"/>
        <item x="212"/>
        <item x="180"/>
        <item x="22"/>
        <item x="16"/>
        <item x="82"/>
        <item x="135"/>
        <item x="93"/>
        <item x="214"/>
        <item x="7"/>
        <item x="239"/>
        <item x="199"/>
        <item x="182"/>
        <item x="191"/>
        <item x="216"/>
        <item x="204"/>
        <item x="134"/>
        <item x="20"/>
        <item x="141"/>
        <item x="12"/>
        <item x="173"/>
        <item x="230"/>
        <item x="61"/>
        <item x="208"/>
        <item x="232"/>
        <item x="171"/>
        <item x="92"/>
        <item x="169"/>
        <item x="200"/>
        <item x="63"/>
        <item x="139"/>
        <item x="257"/>
        <item x="101"/>
        <item x="167"/>
        <item x="176"/>
        <item x="65"/>
        <item x="252"/>
        <item x="210"/>
        <item x="142"/>
        <item x="163"/>
        <item x="224"/>
        <item x="17"/>
        <item x="166"/>
        <item x="209"/>
        <item x="205"/>
        <item x="157"/>
        <item x="226"/>
        <item x="242"/>
        <item x="235"/>
        <item x="197"/>
        <item x="225"/>
        <item x="244"/>
        <item x="251"/>
        <item x="128"/>
        <item x="223"/>
        <item x="24"/>
        <item x="56"/>
        <item x="145"/>
        <item x="147"/>
        <item x="70"/>
        <item x="227"/>
        <item x="201"/>
        <item x="105"/>
        <item x="194"/>
        <item x="234"/>
        <item x="220"/>
        <item x="193"/>
        <item x="164"/>
        <item x="59"/>
        <item x="243"/>
        <item x="94"/>
        <item x="246"/>
        <item x="241"/>
        <item x="229"/>
        <item x="240"/>
        <item x="207"/>
        <item x="177"/>
        <item x="215"/>
        <item x="247"/>
        <item x="125"/>
        <item x="245"/>
        <item x="237"/>
        <item x="258"/>
        <item x="195"/>
        <item x="228"/>
        <item x="211"/>
        <item x="160"/>
        <item x="21"/>
        <item x="196"/>
        <item x="185"/>
        <item x="254"/>
        <item x="106"/>
        <item x="256"/>
        <item x="222"/>
      </items>
    </pivotField>
    <pivotField showAll="0"/>
    <pivotField showAll="0"/>
    <pivotField showAll="0"/>
    <pivotField showAll="0"/>
  </pivotFields>
  <rowFields count="1">
    <field x="0"/>
  </rowFields>
  <rowItems count="11">
    <i>
      <x v="8"/>
    </i>
    <i>
      <x v="2"/>
    </i>
    <i>
      <x v="41"/>
    </i>
    <i>
      <x v="48"/>
    </i>
    <i>
      <x v="38"/>
    </i>
    <i>
      <x v="4"/>
    </i>
    <i>
      <x v="40"/>
    </i>
    <i>
      <x v="29"/>
    </i>
    <i>
      <x v="11"/>
    </i>
    <i>
      <x v="1"/>
    </i>
    <i t="grand">
      <x/>
    </i>
  </rowItems>
  <colItems count="1">
    <i/>
  </colItems>
  <dataFields count="1">
    <dataField name="Среднее по полю Points" fld="3" subtotal="average" baseField="0" baseItem="49" numFmtId="164"/>
  </dataFields>
  <formats count="13">
    <format dxfId="12">
      <pivotArea outline="0" collapsedLevelsAreSubtotals="1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outline="0" axis="axisValues" fieldPosition="0"/>
    </format>
    <format dxfId="7">
      <pivotArea dataOnly="0" labelOnly="1" fieldPosition="0">
        <references count="1">
          <reference field="0" count="10">
            <x v="1"/>
            <x v="2"/>
            <x v="4"/>
            <x v="8"/>
            <x v="11"/>
            <x v="29"/>
            <x v="38"/>
            <x v="40"/>
            <x v="41"/>
            <x v="48"/>
          </reference>
        </references>
      </pivotArea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outline="0" axis="axisValues" fieldPosition="0"/>
    </format>
    <format dxfId="1">
      <pivotArea dataOnly="0" labelOnly="1" fieldPosition="0">
        <references count="1">
          <reference field="0" count="10">
            <x v="1"/>
            <x v="2"/>
            <x v="4"/>
            <x v="8"/>
            <x v="11"/>
            <x v="29"/>
            <x v="38"/>
            <x v="40"/>
            <x v="41"/>
            <x v="48"/>
          </reference>
        </references>
      </pivotArea>
    </format>
    <format dxfId="0">
      <pivotArea dataOnly="0" labelOnly="1" grandRow="1" outline="0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0">
              <x v="1"/>
              <x v="2"/>
              <x v="4"/>
              <x v="8"/>
              <x v="11"/>
              <x v="29"/>
              <x v="38"/>
              <x v="40"/>
              <x v="41"/>
              <x v="48"/>
            </reference>
          </references>
        </pivotArea>
      </pivotAreas>
    </conditionalFormat>
  </conditional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7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Таблица9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chartFormat="16">
  <location ref="K13:L25" firstHeaderRow="1" firstDataRow="1" firstDataCol="1"/>
  <pivotFields count="8">
    <pivotField axis="axisRow" dataField="1" showAll="0" measureFilter="1" sortType="descending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27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3">
        <item x="0"/>
        <item x="1"/>
        <item t="default"/>
      </items>
    </pivotField>
    <pivotField numFmtId="1" showAll="0"/>
    <pivotField showAll="0"/>
    <pivotField showAll="0"/>
    <pivotField showAll="0"/>
    <pivotField showAll="0"/>
  </pivotFields>
  <rowFields count="1">
    <field x="0"/>
  </rowFields>
  <rowItems count="12">
    <i>
      <x v="49"/>
    </i>
    <i>
      <x v="18"/>
    </i>
    <i>
      <x v="15"/>
    </i>
    <i>
      <x v="44"/>
    </i>
    <i>
      <x v="45"/>
    </i>
    <i>
      <x v="34"/>
    </i>
    <i>
      <x v="6"/>
    </i>
    <i>
      <x v="33"/>
    </i>
    <i>
      <x v="46"/>
    </i>
    <i>
      <x v="3"/>
    </i>
    <i>
      <x v="14"/>
    </i>
    <i t="grand">
      <x/>
    </i>
  </rowItems>
  <colItems count="1">
    <i/>
  </colItems>
  <dataFields count="1">
    <dataField name="Количество по полю Country" fld="0" subtotal="count" baseField="0" baseItem="0"/>
  </dataFields>
  <formats count="12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0" type="button" dataOnly="0" labelOnly="1" outline="0" axis="axisRow" fieldPosition="0"/>
    </format>
    <format dxfId="21">
      <pivotArea dataOnly="0" labelOnly="1" outline="0" axis="axisValues" fieldPosition="0"/>
    </format>
    <format dxfId="20">
      <pivotArea dataOnly="0" labelOnly="1" fieldPosition="0">
        <references count="1">
          <reference field="0" count="11">
            <x v="3"/>
            <x v="6"/>
            <x v="14"/>
            <x v="15"/>
            <x v="18"/>
            <x v="33"/>
            <x v="34"/>
            <x v="44"/>
            <x v="45"/>
            <x v="46"/>
            <x v="49"/>
          </reference>
        </references>
      </pivotArea>
    </format>
    <format dxfId="19">
      <pivotArea dataOnly="0" labelOnly="1" grandRow="1" outline="0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outline="0" axis="axisValues" fieldPosition="0"/>
    </format>
    <format dxfId="14">
      <pivotArea dataOnly="0" labelOnly="1" fieldPosition="0">
        <references count="1">
          <reference field="0" count="11">
            <x v="3"/>
            <x v="6"/>
            <x v="14"/>
            <x v="15"/>
            <x v="18"/>
            <x v="33"/>
            <x v="34"/>
            <x v="44"/>
            <x v="45"/>
            <x v="46"/>
            <x v="49"/>
          </reference>
        </references>
      </pivotArea>
    </format>
    <format dxfId="13">
      <pivotArea dataOnly="0" labelOnly="1" grandRow="1" outline="0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</chartFormats>
  <pivotTableStyleInfo name="PivotStyleLight15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Таблица8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chartFormat="6">
  <location ref="F29:G38" firstHeaderRow="1" firstDataRow="1" firstDataCol="1"/>
  <pivotFields count="8">
    <pivotField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27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Row" showAll="0">
      <items count="11">
        <item x="0"/>
        <item n="1950s" x="1"/>
        <item n="1960s" x="2"/>
        <item n="1970s" x="3"/>
        <item n="1980s" x="4"/>
        <item n="1990s" x="5"/>
        <item n="2000s" x="6"/>
        <item n="2010s" x="7"/>
        <item n="2020s" x="8"/>
        <item x="9"/>
        <item t="default"/>
      </items>
    </pivotField>
    <pivotField showAll="0">
      <items count="3">
        <item x="0"/>
        <item x="1"/>
        <item t="default"/>
      </items>
    </pivotField>
    <pivotField dataField="1" numFmtId="1" showAll="0"/>
    <pivotField showAll="0"/>
    <pivotField showAll="0"/>
    <pivotField showAll="0"/>
    <pivotField showAll="0"/>
  </pivotFields>
  <rowFields count="1"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Среднее по полю Points" fld="3" subtotal="average" baseField="1" baseItem="1" numFmtId="164"/>
  </dataFields>
  <formats count="14">
    <format dxfId="38">
      <pivotArea collapsedLevelsAreSubtotals="1" fieldPosition="0">
        <references count="1">
          <reference field="1" count="1">
            <x v="1"/>
          </reference>
        </references>
      </pivotArea>
    </format>
    <format dxfId="37">
      <pivotArea outline="0" collapsedLevelsAreSubtotals="1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outline="0" axis="axisValues" fieldPosition="0"/>
    </format>
    <format dxfId="32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1">
      <pivotArea dataOnly="0" labelOnly="1" grandRow="1" outline="0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" type="button" dataOnly="0" labelOnly="1" outline="0" axis="axisRow" fieldPosition="0"/>
    </format>
    <format dxfId="27">
      <pivotArea dataOnly="0" labelOnly="1" outline="0" axis="axisValues" fieldPosition="0"/>
    </format>
    <format dxfId="26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5">
      <pivotArea dataOnly="0" labelOnly="1" grandRow="1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Таблица7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chartFormat="6">
  <location ref="A29:B35" firstHeaderRow="1" firstDataRow="1" firstDataCol="1"/>
  <pivotFields count="8">
    <pivotField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27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3">
        <item x="0"/>
        <item x="1"/>
        <item t="default"/>
      </items>
    </pivotField>
    <pivotField dataField="1" numFmtId="1" showAll="0"/>
    <pivotField showAll="0"/>
    <pivotField showAll="0"/>
    <pivotField axis="axisRow" showAll="0" measureFilter="1" sortType="descending">
      <items count="1270">
        <item x="965"/>
        <item x="83"/>
        <item x="649"/>
        <item x="245"/>
        <item x="1048"/>
        <item x="886"/>
        <item x="1073"/>
        <item x="645"/>
        <item x="647"/>
        <item x="1137"/>
        <item x="615"/>
        <item x="320"/>
        <item x="612"/>
        <item x="1008"/>
        <item x="972"/>
        <item x="427"/>
        <item x="842"/>
        <item x="188"/>
        <item x="940"/>
        <item x="182"/>
        <item x="61"/>
        <item x="614"/>
        <item x="383"/>
        <item x="1036"/>
        <item x="727"/>
        <item x="929"/>
        <item x="370"/>
        <item x="136"/>
        <item x="139"/>
        <item x="898"/>
        <item x="930"/>
        <item x="374"/>
        <item x="84"/>
        <item x="1174"/>
        <item x="1032"/>
        <item x="475"/>
        <item x="366"/>
        <item x="364"/>
        <item x="1258"/>
        <item x="289"/>
        <item x="138"/>
        <item x="344"/>
        <item x="642"/>
        <item x="369"/>
        <item x="1009"/>
        <item x="893"/>
        <item x="938"/>
        <item x="231"/>
        <item x="653"/>
        <item x="485"/>
        <item x="10"/>
        <item x="315"/>
        <item x="1231"/>
        <item x="179"/>
        <item x="523"/>
        <item x="365"/>
        <item x="1172"/>
        <item x="47"/>
        <item x="815"/>
        <item x="804"/>
        <item x="1093"/>
        <item x="249"/>
        <item x="0"/>
        <item x="102"/>
        <item x="432"/>
        <item x="855"/>
        <item x="500"/>
        <item x="618"/>
        <item x="1130"/>
        <item x="177"/>
        <item x="443"/>
        <item x="274"/>
        <item x="674"/>
        <item x="228"/>
        <item x="814"/>
        <item x="812"/>
        <item x="758"/>
        <item x="295"/>
        <item x="334"/>
        <item x="743"/>
        <item x="337"/>
        <item x="1121"/>
        <item x="757"/>
        <item x="794"/>
        <item x="459"/>
        <item x="1010"/>
        <item x="867"/>
        <item x="9"/>
        <item x="448"/>
        <item x="16"/>
        <item x="1110"/>
        <item x="884"/>
        <item x="805"/>
        <item x="635"/>
        <item x="721"/>
        <item x="19"/>
        <item x="1064"/>
        <item x="1150"/>
        <item x="1260"/>
        <item x="1159"/>
        <item x="411"/>
        <item x="234"/>
        <item x="565"/>
        <item x="489"/>
        <item x="1148"/>
        <item x="70"/>
        <item x="1004"/>
        <item x="1267"/>
        <item x="675"/>
        <item x="996"/>
        <item x="222"/>
        <item x="447"/>
        <item x="119"/>
        <item x="1124"/>
        <item x="373"/>
        <item x="1206"/>
        <item x="1030"/>
        <item x="248"/>
        <item x="296"/>
        <item x="492"/>
        <item x="1208"/>
        <item x="767"/>
        <item x="811"/>
        <item x="1087"/>
        <item x="777"/>
        <item x="1249"/>
        <item x="1141"/>
        <item x="1017"/>
        <item x="57"/>
        <item x="597"/>
        <item x="328"/>
        <item x="994"/>
        <item x="415"/>
        <item x="372"/>
        <item x="776"/>
        <item x="264"/>
        <item x="218"/>
        <item x="505"/>
        <item x="229"/>
        <item x="212"/>
        <item x="210"/>
        <item x="1051"/>
        <item x="217"/>
        <item x="1203"/>
        <item x="132"/>
        <item x="1034"/>
        <item x="312"/>
        <item x="1068"/>
        <item x="1234"/>
        <item x="860"/>
        <item x="43"/>
        <item x="585"/>
        <item x="90"/>
        <item x="27"/>
        <item x="88"/>
        <item x="58"/>
        <item x="601"/>
        <item x="821"/>
        <item x="955"/>
        <item x="640"/>
        <item x="1236"/>
        <item x="486"/>
        <item x="170"/>
        <item x="294"/>
        <item x="634"/>
        <item x="991"/>
        <item x="999"/>
        <item x="553"/>
        <item x="243"/>
        <item x="1037"/>
        <item x="825"/>
        <item x="224"/>
        <item x="1200"/>
        <item x="1186"/>
        <item x="1205"/>
        <item x="1157"/>
        <item x="1149"/>
        <item x="941"/>
        <item x="517"/>
        <item x="484"/>
        <item x="499"/>
        <item x="1001"/>
        <item x="747"/>
        <item x="660"/>
        <item x="1166"/>
        <item x="280"/>
        <item x="846"/>
        <item x="877"/>
        <item x="871"/>
        <item x="882"/>
        <item x="33"/>
        <item x="1062"/>
        <item x="1055"/>
        <item x="1115"/>
        <item x="1107"/>
        <item x="430"/>
        <item x="299"/>
        <item x="531"/>
        <item x="331"/>
        <item x="1123"/>
        <item x="68"/>
        <item x="923"/>
        <item x="1035"/>
        <item x="244"/>
        <item x="190"/>
        <item x="479"/>
        <item x="1070"/>
        <item x="1078"/>
        <item x="835"/>
        <item x="708"/>
        <item x="79"/>
        <item x="1054"/>
        <item x="561"/>
        <item x="667"/>
        <item x="552"/>
        <item x="410"/>
        <item x="1092"/>
        <item x="1063"/>
        <item x="445"/>
        <item x="42"/>
        <item x="840"/>
        <item x="340"/>
        <item x="450"/>
        <item x="397"/>
        <item x="1044"/>
        <item x="96"/>
        <item x="710"/>
        <item x="168"/>
        <item x="598"/>
        <item x="452"/>
        <item x="1193"/>
        <item x="1196"/>
        <item x="117"/>
        <item x="906"/>
        <item x="339"/>
        <item x="1202"/>
        <item x="734"/>
        <item x="530"/>
        <item x="483"/>
        <item x="978"/>
        <item x="64"/>
        <item x="386"/>
        <item x="759"/>
        <item x="189"/>
        <item x="197"/>
        <item x="420"/>
        <item x="679"/>
        <item x="1090"/>
        <item x="752"/>
        <item x="639"/>
        <item x="454"/>
        <item x="477"/>
        <item x="897"/>
        <item x="686"/>
        <item x="1116"/>
        <item x="889"/>
        <item x="574"/>
        <item x="1120"/>
        <item x="22"/>
        <item x="349"/>
        <item x="909"/>
        <item x="522"/>
        <item x="577"/>
        <item x="1024"/>
        <item x="1114"/>
        <item x="1261"/>
        <item x="163"/>
        <item x="658"/>
        <item x="493"/>
        <item x="214"/>
        <item x="966"/>
        <item x="569"/>
        <item x="1015"/>
        <item x="669"/>
        <item x="137"/>
        <item x="547"/>
        <item x="1229"/>
        <item x="515"/>
        <item x="756"/>
        <item x="223"/>
        <item x="707"/>
        <item x="144"/>
        <item x="472"/>
        <item x="554"/>
        <item x="719"/>
        <item x="376"/>
        <item x="518"/>
        <item x="843"/>
        <item x="78"/>
        <item x="75"/>
        <item x="936"/>
        <item x="942"/>
        <item x="140"/>
        <item x="151"/>
        <item x="892"/>
        <item x="458"/>
        <item x="82"/>
        <item x="883"/>
        <item x="820"/>
        <item x="595"/>
        <item x="741"/>
        <item x="323"/>
        <item x="862"/>
        <item x="652"/>
        <item x="887"/>
        <item x="729"/>
        <item x="15"/>
        <item x="164"/>
        <item x="796"/>
        <item x="104"/>
        <item x="402"/>
        <item x="876"/>
        <item x="1122"/>
        <item x="891"/>
        <item x="799"/>
        <item x="573"/>
        <item x="549"/>
        <item x="584"/>
        <item x="544"/>
        <item x="301"/>
        <item x="578"/>
        <item x="593"/>
        <item x="1061"/>
        <item x="789"/>
        <item x="870"/>
        <item x="1029"/>
        <item x="852"/>
        <item x="80"/>
        <item x="1118"/>
        <item x="545"/>
        <item x="503"/>
        <item x="431"/>
        <item x="378"/>
        <item x="1238"/>
        <item x="468"/>
        <item x="919"/>
        <item x="185"/>
        <item x="695"/>
        <item x="205"/>
        <item x="203"/>
        <item x="32"/>
        <item x="6"/>
        <item x="265"/>
        <item x="455"/>
        <item x="266"/>
        <item x="831"/>
        <item x="829"/>
        <item x="153"/>
        <item x="72"/>
        <item x="813"/>
        <item x="215"/>
        <item x="69"/>
        <item x="76"/>
        <item x="181"/>
        <item x="599"/>
        <item x="107"/>
        <item x="626"/>
        <item x="247"/>
        <item x="1235"/>
        <item x="162"/>
        <item x="621"/>
        <item x="156"/>
        <item x="1080"/>
        <item x="630"/>
        <item x="1027"/>
        <item x="792"/>
        <item x="1095"/>
        <item x="7"/>
        <item x="507"/>
        <item x="14"/>
        <item x="1007"/>
        <item x="1253"/>
        <item x="256"/>
        <item x="651"/>
        <item x="186"/>
        <item x="1268"/>
        <item x="512"/>
        <item x="637"/>
        <item x="711"/>
        <item x="1074"/>
        <item x="1046"/>
        <item x="350"/>
        <item x="183"/>
        <item x="74"/>
        <item x="135"/>
        <item x="145"/>
        <item x="874"/>
        <item x="29"/>
        <item x="904"/>
        <item x="818"/>
        <item x="717"/>
        <item x="903"/>
        <item x="1050"/>
        <item x="1094"/>
        <item x="664"/>
        <item x="1217"/>
        <item x="628"/>
        <item x="629"/>
        <item x="1127"/>
        <item x="1085"/>
        <item x="733"/>
        <item x="735"/>
        <item x="470"/>
        <item x="487"/>
        <item x="275"/>
        <item x="282"/>
        <item x="325"/>
        <item x="476"/>
        <item x="1072"/>
        <item x="779"/>
        <item x="120"/>
        <item x="89"/>
        <item x="1117"/>
        <item x="206"/>
        <item x="1176"/>
        <item x="48"/>
        <item x="550"/>
        <item x="879"/>
        <item x="17"/>
        <item x="56"/>
        <item x="781"/>
        <item x="262"/>
        <item x="716"/>
        <item x="1098"/>
        <item x="604"/>
        <item x="600"/>
        <item x="571"/>
        <item x="1219"/>
        <item x="466"/>
        <item x="396"/>
        <item x="1133"/>
        <item x="1182"/>
        <item x="165"/>
        <item x="423"/>
        <item x="1169"/>
        <item x="755"/>
        <item x="511"/>
        <item x="216"/>
        <item x="810"/>
        <item x="225"/>
        <item x="416"/>
        <item x="1125"/>
        <item x="326"/>
        <item x="322"/>
        <item x="21"/>
        <item x="672"/>
        <item x="341"/>
        <item x="1160"/>
        <item x="564"/>
        <item x="1164"/>
        <item x="836"/>
        <item x="491"/>
        <item x="305"/>
        <item x="809"/>
        <item x="587"/>
        <item x="146"/>
        <item x="184"/>
        <item x="772"/>
        <item x="30"/>
        <item x="514"/>
        <item x="11"/>
        <item x="496"/>
        <item x="771"/>
        <item x="387"/>
        <item x="699"/>
        <item x="463"/>
        <item x="1100"/>
        <item x="509"/>
        <item x="1056"/>
        <item x="405"/>
        <item x="133"/>
        <item x="226"/>
        <item x="921"/>
        <item x="589"/>
        <item x="202"/>
        <item x="663"/>
        <item x="784"/>
        <item x="959"/>
        <item x="859"/>
        <item x="490"/>
        <item x="655"/>
        <item x="173"/>
        <item x="627"/>
        <item x="558"/>
        <item x="925"/>
        <item x="1221"/>
        <item x="590"/>
        <item x="257"/>
        <item x="497"/>
        <item x="13"/>
        <item x="391"/>
        <item x="115"/>
        <item x="1039"/>
        <item x="803"/>
        <item x="407"/>
        <item x="1041"/>
        <item x="712"/>
        <item x="401"/>
        <item x="319"/>
        <item x="23"/>
        <item x="861"/>
        <item x="176"/>
        <item x="603"/>
        <item x="1252"/>
        <item x="169"/>
        <item x="18"/>
        <item x="199"/>
        <item x="253"/>
        <item x="1147"/>
        <item x="567"/>
        <item x="562"/>
        <item x="317"/>
        <item x="175"/>
        <item x="101"/>
        <item x="732"/>
        <item x="91"/>
        <item x="110"/>
        <item x="1232"/>
        <item x="816"/>
        <item x="819"/>
        <item x="987"/>
        <item x="240"/>
        <item x="622"/>
        <item x="1179"/>
        <item x="1227"/>
        <item x="1243"/>
        <item x="433"/>
        <item x="1066"/>
        <item x="1126"/>
        <item x="277"/>
        <item x="300"/>
        <item x="1228"/>
        <item x="336"/>
        <item x="316"/>
        <item x="97"/>
        <item x="661"/>
        <item x="676"/>
        <item x="800"/>
        <item x="740"/>
        <item x="318"/>
        <item x="555"/>
        <item x="951"/>
        <item x="1226"/>
        <item x="437"/>
        <item x="1225"/>
        <item x="24"/>
        <item x="363"/>
        <item x="1069"/>
        <item x="31"/>
        <item x="488"/>
        <item x="1239"/>
        <item x="698"/>
        <item x="343"/>
        <item x="200"/>
        <item x="1088"/>
        <item x="532"/>
        <item x="198"/>
        <item x="357"/>
        <item x="8"/>
        <item x="1233"/>
        <item x="837"/>
        <item x="881"/>
        <item x="980"/>
        <item x="993"/>
        <item x="848"/>
        <item x="398"/>
        <item x="333"/>
        <item x="934"/>
        <item x="4"/>
        <item x="714"/>
        <item x="985"/>
        <item x="538"/>
        <item x="826"/>
        <item x="782"/>
        <item x="643"/>
        <item x="853"/>
        <item x="134"/>
        <item x="506"/>
        <item x="673"/>
        <item x="297"/>
        <item x="345"/>
        <item x="696"/>
        <item x="465"/>
        <item x="1183"/>
        <item x="36"/>
        <item x="292"/>
        <item x="986"/>
        <item x="971"/>
        <item x="692"/>
        <item x="824"/>
        <item x="854"/>
        <item x="865"/>
        <item x="964"/>
        <item x="823"/>
        <item x="25"/>
        <item x="453"/>
        <item x="473"/>
        <item x="1190"/>
        <item x="482"/>
        <item x="394"/>
        <item x="285"/>
        <item x="1220"/>
        <item x="213"/>
        <item x="1146"/>
        <item x="849"/>
        <item x="3"/>
        <item x="1162"/>
        <item x="1191"/>
        <item x="822"/>
        <item x="539"/>
        <item x="1057"/>
        <item x="541"/>
        <item x="290"/>
        <item x="806"/>
        <item x="1143"/>
        <item x="750"/>
        <item x="838"/>
        <item x="592"/>
        <item x="255"/>
        <item x="288"/>
        <item x="960"/>
        <item x="1256"/>
        <item x="469"/>
        <item x="172"/>
        <item x="309"/>
        <item x="155"/>
        <item x="276"/>
        <item x="1254"/>
        <item x="715"/>
        <item x="187"/>
        <item x="235"/>
        <item x="1003"/>
        <item x="1250"/>
        <item x="271"/>
        <item x="269"/>
        <item x="148"/>
        <item x="575"/>
        <item x="208"/>
        <item x="385"/>
        <item x="684"/>
        <item x="833"/>
        <item x="1049"/>
        <item x="1020"/>
        <item x="1058"/>
        <item x="272"/>
        <item x="303"/>
        <item x="131"/>
        <item x="748"/>
        <item x="976"/>
        <item x="1"/>
        <item x="428"/>
        <item x="1075"/>
        <item x="403"/>
        <item x="763"/>
        <item x="251"/>
        <item x="360"/>
        <item x="399"/>
        <item x="434"/>
        <item x="180"/>
        <item x="540"/>
        <item x="28"/>
        <item x="113"/>
        <item x="1042"/>
        <item x="1038"/>
        <item x="98"/>
        <item x="111"/>
        <item x="535"/>
        <item x="791"/>
        <item x="775"/>
        <item x="1224"/>
        <item x="739"/>
        <item x="582"/>
        <item x="576"/>
        <item x="196"/>
        <item x="368"/>
        <item x="121"/>
        <item x="227"/>
        <item x="1213"/>
        <item x="93"/>
        <item x="1245"/>
        <item x="1246"/>
        <item x="230"/>
        <item x="304"/>
        <item x="1081"/>
        <item x="1059"/>
        <item x="232"/>
        <item x="421"/>
        <item x="467"/>
        <item x="95"/>
        <item x="356"/>
        <item x="1218"/>
        <item x="130"/>
        <item x="648"/>
        <item x="617"/>
        <item x="1132"/>
        <item x="1251"/>
        <item x="1240"/>
        <item x="997"/>
        <item x="1025"/>
        <item x="1194"/>
        <item x="915"/>
        <item x="537"/>
        <item x="1013"/>
        <item x="713"/>
        <item x="1201"/>
        <item x="1091"/>
        <item x="896"/>
        <item x="254"/>
        <item x="220"/>
        <item x="869"/>
        <item x="371"/>
        <item x="1097"/>
        <item x="160"/>
        <item x="481"/>
        <item x="774"/>
        <item x="631"/>
        <item x="633"/>
        <item x="142"/>
        <item x="161"/>
        <item x="973"/>
        <item x="1079"/>
        <item x="239"/>
        <item x="438"/>
        <item x="910"/>
        <item x="922"/>
        <item x="461"/>
        <item x="1031"/>
        <item x="1165"/>
        <item x="946"/>
        <item x="60"/>
        <item x="880"/>
        <item x="975"/>
        <item x="546"/>
        <item x="963"/>
        <item x="780"/>
        <item x="625"/>
        <item x="1011"/>
        <item x="845"/>
        <item x="681"/>
        <item x="390"/>
        <item x="382"/>
        <item x="841"/>
        <item x="536"/>
        <item x="471"/>
        <item x="885"/>
        <item x="449"/>
        <item x="456"/>
        <item x="457"/>
        <item x="37"/>
        <item x="778"/>
        <item x="744"/>
        <item x="1065"/>
        <item x="332"/>
        <item x="636"/>
        <item x="351"/>
        <item x="1111"/>
        <item x="1113"/>
        <item x="147"/>
        <item x="950"/>
        <item x="439"/>
        <item x="270"/>
        <item x="688"/>
        <item x="1134"/>
        <item x="1178"/>
        <item x="440"/>
        <item x="736"/>
        <item x="278"/>
        <item x="192"/>
        <item x="790"/>
        <item x="908"/>
        <item x="962"/>
        <item x="1076"/>
        <item x="694"/>
        <item x="329"/>
        <item x="44"/>
        <item x="746"/>
        <item x="1195"/>
        <item x="395"/>
        <item x="702"/>
        <item x="983"/>
        <item x="605"/>
        <item x="611"/>
        <item x="1189"/>
        <item x="422"/>
        <item x="525"/>
        <item x="408"/>
        <item x="787"/>
        <item x="152"/>
        <item x="783"/>
        <item x="413"/>
        <item x="1181"/>
        <item x="827"/>
        <item x="45"/>
        <item x="1142"/>
        <item x="609"/>
        <item x="105"/>
        <item x="864"/>
        <item x="1215"/>
        <item x="191"/>
        <item x="1242"/>
        <item x="435"/>
        <item x="460"/>
        <item x="718"/>
        <item x="419"/>
        <item x="665"/>
        <item x="551"/>
        <item x="992"/>
        <item x="857"/>
        <item x="916"/>
        <item x="143"/>
        <item x="1175"/>
        <item x="705"/>
        <item x="1012"/>
        <item x="1033"/>
        <item x="207"/>
        <item x="952"/>
        <item x="563"/>
        <item x="760"/>
        <item x="738"/>
        <item x="201"/>
        <item x="706"/>
        <item x="988"/>
        <item x="1138"/>
        <item x="689"/>
        <item x="704"/>
        <item x="1237"/>
        <item x="912"/>
        <item x="283"/>
        <item x="1040"/>
        <item x="863"/>
        <item x="654"/>
        <item x="657"/>
        <item x="670"/>
        <item x="1163"/>
        <item x="118"/>
        <item x="568"/>
        <item x="768"/>
        <item x="788"/>
        <item x="900"/>
        <item x="931"/>
        <item x="521"/>
        <item x="632"/>
        <item x="1084"/>
        <item x="122"/>
        <item x="847"/>
        <item x="412"/>
        <item x="588"/>
        <item x="63"/>
        <item x="81"/>
        <item x="662"/>
        <item x="1021"/>
        <item x="722"/>
        <item x="730"/>
        <item x="935"/>
        <item x="354"/>
        <item x="342"/>
        <item x="348"/>
        <item x="124"/>
        <item x="67"/>
        <item x="86"/>
        <item x="352"/>
        <item x="1136"/>
        <item x="723"/>
        <item x="591"/>
        <item x="888"/>
        <item x="958"/>
        <item x="1139"/>
        <item x="542"/>
        <item x="1223"/>
        <item x="918"/>
        <item x="913"/>
        <item x="606"/>
        <item x="404"/>
        <item x="100"/>
        <item x="330"/>
        <item x="381"/>
        <item x="953"/>
        <item x="174"/>
        <item x="347"/>
        <item x="380"/>
        <item x="624"/>
        <item x="302"/>
        <item x="141"/>
        <item x="409"/>
        <item x="426"/>
        <item x="961"/>
        <item x="586"/>
        <item x="379"/>
        <item x="802"/>
        <item x="388"/>
        <item x="1263"/>
        <item x="480"/>
        <item x="324"/>
        <item x="890"/>
        <item x="594"/>
        <item x="969"/>
        <item x="1180"/>
        <item x="866"/>
        <item x="808"/>
        <item x="566"/>
        <item x="797"/>
        <item x="1167"/>
        <item x="1198"/>
        <item x="237"/>
        <item x="2"/>
        <item x="194"/>
        <item x="1067"/>
        <item x="358"/>
        <item x="878"/>
        <item x="263"/>
        <item x="644"/>
        <item x="1000"/>
        <item x="1145"/>
        <item x="1109"/>
        <item x="1099"/>
        <item x="308"/>
        <item x="685"/>
        <item x="109"/>
        <item x="441"/>
        <item x="726"/>
        <item x="1026"/>
        <item x="520"/>
        <item x="764"/>
        <item x="1184"/>
        <item x="362"/>
        <item x="1002"/>
        <item x="346"/>
        <item x="1103"/>
        <item x="701"/>
        <item x="543"/>
        <item x="501"/>
        <item x="920"/>
        <item x="314"/>
        <item x="875"/>
        <item x="298"/>
        <item x="1185"/>
        <item x="1106"/>
        <item x="1257"/>
        <item x="620"/>
        <item x="989"/>
        <item x="35"/>
        <item x="939"/>
        <item x="1101"/>
        <item x="1108"/>
        <item x="54"/>
        <item x="928"/>
        <item x="116"/>
        <item x="858"/>
        <item x="1104"/>
        <item x="103"/>
        <item x="281"/>
        <item x="1155"/>
        <item x="579"/>
        <item x="641"/>
        <item x="683"/>
        <item x="154"/>
        <item x="944"/>
        <item x="513"/>
        <item x="559"/>
        <item x="1222"/>
        <item x="1204"/>
        <item x="932"/>
        <item x="335"/>
        <item x="158"/>
        <item x="279"/>
        <item x="321"/>
        <item x="1112"/>
        <item x="1018"/>
        <item x="982"/>
        <item x="623"/>
        <item x="211"/>
        <item x="250"/>
        <item x="528"/>
        <item x="149"/>
        <item x="998"/>
        <item x="700"/>
        <item x="596"/>
        <item x="793"/>
        <item x="114"/>
        <item x="613"/>
        <item x="610"/>
        <item x="287"/>
        <item x="1211"/>
        <item x="572"/>
        <item x="901"/>
        <item x="1265"/>
        <item x="92"/>
        <item x="129"/>
        <item x="1086"/>
        <item x="1082"/>
        <item x="1022"/>
        <item x="338"/>
        <item x="425"/>
        <item x="1071"/>
        <item x="238"/>
        <item x="429"/>
        <item x="608"/>
        <item x="668"/>
        <item x="5"/>
        <item x="1188"/>
        <item x="762"/>
        <item x="1016"/>
        <item x="20"/>
        <item x="754"/>
        <item x="260"/>
        <item x="899"/>
        <item x="1168"/>
        <item x="785"/>
        <item x="1028"/>
        <item x="556"/>
        <item x="557"/>
        <item x="1210"/>
        <item x="436"/>
        <item x="801"/>
        <item x="311"/>
        <item x="1248"/>
        <item x="73"/>
        <item x="71"/>
        <item x="259"/>
        <item x="462"/>
        <item x="984"/>
        <item x="905"/>
        <item x="1244"/>
        <item x="1214"/>
        <item x="751"/>
        <item x="77"/>
        <item x="914"/>
        <item x="524"/>
        <item x="1192"/>
        <item x="766"/>
        <item x="112"/>
        <item x="770"/>
        <item x="1119"/>
        <item x="355"/>
        <item x="957"/>
        <item x="956"/>
        <item x="1083"/>
        <item x="894"/>
        <item x="687"/>
        <item x="464"/>
        <item x="581"/>
        <item x="650"/>
        <item x="765"/>
        <item x="40"/>
        <item x="1230"/>
        <item x="1212"/>
        <item x="519"/>
        <item x="1131"/>
        <item x="1151"/>
        <item x="1152"/>
        <item x="830"/>
        <item x="1156"/>
        <item x="1259"/>
        <item x="284"/>
        <item x="502"/>
        <item x="1135"/>
        <item x="949"/>
        <item x="1006"/>
        <item x="1014"/>
        <item x="937"/>
        <item x="99"/>
        <item x="327"/>
        <item x="749"/>
        <item x="945"/>
        <item x="125"/>
        <item x="1005"/>
        <item x="602"/>
        <item x="990"/>
        <item x="948"/>
        <item x="1158"/>
        <item x="970"/>
        <item x="171"/>
        <item x="1144"/>
        <item x="533"/>
        <item x="26"/>
        <item x="682"/>
        <item x="583"/>
        <item x="560"/>
        <item x="1161"/>
        <item x="241"/>
        <item x="498"/>
        <item x="828"/>
        <item x="400"/>
        <item x="252"/>
        <item x="242"/>
        <item x="52"/>
        <item x="872"/>
        <item x="868"/>
        <item x="1105"/>
        <item x="12"/>
        <item x="393"/>
        <item x="1129"/>
        <item x="856"/>
        <item x="510"/>
        <item x="646"/>
        <item x="353"/>
        <item x="377"/>
        <item x="451"/>
        <item x="310"/>
        <item x="659"/>
        <item x="246"/>
        <item x="1019"/>
        <item x="1216"/>
        <item x="291"/>
        <item x="745"/>
        <item x="677"/>
        <item x="680"/>
        <item x="375"/>
        <item x="1023"/>
        <item x="41"/>
        <item x="1264"/>
        <item x="178"/>
        <item x="268"/>
        <item x="418"/>
        <item x="474"/>
        <item x="495"/>
        <item x="195"/>
        <item x="108"/>
        <item x="55"/>
        <item x="834"/>
        <item x="494"/>
        <item x="414"/>
        <item x="851"/>
        <item x="728"/>
        <item x="724"/>
        <item x="1241"/>
        <item x="817"/>
        <item x="678"/>
        <item x="1173"/>
        <item x="1207"/>
        <item x="516"/>
        <item x="361"/>
        <item x="742"/>
        <item x="417"/>
        <item x="933"/>
        <item x="1266"/>
        <item x="446"/>
        <item x="580"/>
        <item x="697"/>
        <item x="204"/>
        <item x="258"/>
        <item x="442"/>
        <item x="967"/>
        <item x="911"/>
        <item x="769"/>
        <item x="1052"/>
        <item x="753"/>
        <item x="106"/>
        <item x="85"/>
        <item x="737"/>
        <item x="306"/>
        <item x="424"/>
        <item x="1187"/>
        <item x="1077"/>
        <item x="907"/>
        <item x="795"/>
        <item x="534"/>
        <item x="65"/>
        <item x="38"/>
        <item x="548"/>
        <item x="1197"/>
        <item x="1047"/>
        <item x="313"/>
        <item x="656"/>
        <item x="59"/>
        <item x="1199"/>
        <item x="527"/>
        <item x="529"/>
        <item x="51"/>
        <item x="761"/>
        <item x="62"/>
        <item x="981"/>
        <item x="709"/>
        <item x="49"/>
        <item x="526"/>
        <item x="1170"/>
        <item x="974"/>
        <item x="850"/>
        <item x="917"/>
        <item x="943"/>
        <item x="128"/>
        <item x="1053"/>
        <item x="1045"/>
        <item x="1060"/>
        <item x="221"/>
        <item x="233"/>
        <item x="94"/>
        <item x="873"/>
        <item x="159"/>
        <item x="53"/>
        <item x="844"/>
        <item x="832"/>
        <item x="693"/>
        <item x="619"/>
        <item x="995"/>
        <item x="236"/>
        <item x="1154"/>
        <item x="1089"/>
        <item x="367"/>
        <item x="504"/>
        <item x="895"/>
        <item x="1153"/>
        <item x="34"/>
        <item x="219"/>
        <item x="389"/>
        <item x="616"/>
        <item x="261"/>
        <item x="126"/>
        <item x="947"/>
        <item x="1128"/>
        <item x="166"/>
        <item x="123"/>
        <item x="1171"/>
        <item x="286"/>
        <item x="167"/>
        <item x="1247"/>
        <item x="666"/>
        <item x="671"/>
        <item x="293"/>
        <item x="979"/>
        <item x="267"/>
        <item x="157"/>
        <item x="1209"/>
        <item x="273"/>
        <item x="968"/>
        <item x="478"/>
        <item x="359"/>
        <item x="1262"/>
        <item x="690"/>
        <item x="193"/>
        <item x="924"/>
        <item x="150"/>
        <item x="902"/>
        <item x="1102"/>
        <item x="307"/>
        <item x="638"/>
        <item x="39"/>
        <item x="798"/>
        <item x="209"/>
        <item x="392"/>
        <item x="607"/>
        <item x="46"/>
        <item x="839"/>
        <item x="50"/>
        <item x="786"/>
        <item x="703"/>
        <item x="406"/>
        <item x="926"/>
        <item x="384"/>
        <item x="127"/>
        <item x="773"/>
        <item x="691"/>
        <item x="570"/>
        <item x="444"/>
        <item x="508"/>
        <item x="927"/>
        <item x="1096"/>
        <item x="977"/>
        <item x="725"/>
        <item x="731"/>
        <item x="720"/>
        <item x="1255"/>
        <item x="87"/>
        <item x="1177"/>
        <item x="66"/>
        <item x="807"/>
        <item x="1140"/>
        <item x="954"/>
        <item x="10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6"/>
  </rowFields>
  <rowItems count="6">
    <i>
      <x v="1063"/>
    </i>
    <i>
      <x v="1021"/>
    </i>
    <i>
      <x v="583"/>
    </i>
    <i>
      <x v="625"/>
    </i>
    <i>
      <x v="523"/>
    </i>
    <i t="grand">
      <x/>
    </i>
  </rowItems>
  <colItems count="1">
    <i/>
  </colItems>
  <dataFields count="1">
    <dataField name="Сумма по полю Points" fld="3" baseField="0" baseItem="0"/>
  </dataFields>
  <formats count="12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6" type="button" dataOnly="0" labelOnly="1" outline="0" axis="axisRow" fieldPosition="0"/>
    </format>
    <format dxfId="47">
      <pivotArea dataOnly="0" labelOnly="1" outline="0" axis="axisValues" fieldPosition="0"/>
    </format>
    <format dxfId="46">
      <pivotArea dataOnly="0" labelOnly="1" fieldPosition="0">
        <references count="1">
          <reference field="6" count="5">
            <x v="523"/>
            <x v="583"/>
            <x v="625"/>
            <x v="1021"/>
            <x v="1063"/>
          </reference>
        </references>
      </pivotArea>
    </format>
    <format dxfId="45">
      <pivotArea dataOnly="0" labelOnly="1" grandRow="1" outline="0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6" type="button" dataOnly="0" labelOnly="1" outline="0" axis="axisRow" fieldPosition="0"/>
    </format>
    <format dxfId="41">
      <pivotArea dataOnly="0" labelOnly="1" outline="0" axis="axisValues" fieldPosition="0"/>
    </format>
    <format dxfId="40">
      <pivotArea dataOnly="0" labelOnly="1" fieldPosition="0">
        <references count="1">
          <reference field="6" count="5">
            <x v="523"/>
            <x v="583"/>
            <x v="625"/>
            <x v="1021"/>
            <x v="1063"/>
          </reference>
        </references>
      </pivotArea>
    </format>
    <format dxfId="39">
      <pivotArea dataOnly="0" labelOnly="1" grandRow="1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СводнаяТаблица3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chartFormat="8">
  <location ref="F13:G22" firstHeaderRow="1" firstDataRow="1" firstDataCol="1"/>
  <pivotFields count="8">
    <pivotField dataField="1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27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Row" showAll="0">
      <items count="11">
        <item x="0"/>
        <item n="1950s" x="1"/>
        <item n="1960s" x="2"/>
        <item n="1970s" x="3"/>
        <item n="1980s" x="4"/>
        <item n="1990s" x="5"/>
        <item n="2000s" x="6"/>
        <item n="2010s" x="7"/>
        <item n="2020s" x="8"/>
        <item x="9"/>
        <item t="default"/>
      </items>
    </pivotField>
    <pivotField showAll="0">
      <items count="3">
        <item x="0"/>
        <item x="1"/>
        <item t="default"/>
      </items>
    </pivotField>
    <pivotField numFmtId="1" showAll="0"/>
    <pivotField showAll="0"/>
    <pivotField showAll="0"/>
    <pivotField showAll="0"/>
    <pivotField showAll="0"/>
  </pivotFields>
  <rowFields count="1"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Количество по полю Country" fld="0" subtotal="count" baseField="1" baseItem="1"/>
  </dataFields>
  <formats count="12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" type="button" dataOnly="0" labelOnly="1" outline="0" axis="axisRow" fieldPosition="0"/>
    </format>
    <format dxfId="59">
      <pivotArea dataOnly="0" labelOnly="1" outline="0" axis="axisValues" fieldPosition="0"/>
    </format>
    <format dxfId="58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57">
      <pivotArea dataOnly="0" labelOnly="1" grandRow="1" outline="0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" type="button" dataOnly="0" labelOnly="1" outline="0" axis="axisRow" fieldPosition="0"/>
    </format>
    <format dxfId="53">
      <pivotArea dataOnly="0" labelOnly="1" outline="0" axis="axisValues" fieldPosition="0"/>
    </format>
    <format dxfId="52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51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urovision_AllFinals" connectionId="1" autoFormatId="16" applyNumberFormats="0" applyBorderFormats="0" applyFontFormats="0" applyPatternFormats="0" applyAlignmentFormats="0" applyWidthHeightFormats="0"/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ountry" sourceName="Country">
  <pivotTables>
    <pivotTable tabId="3" name="СводнаяТаблица1"/>
    <pivotTable tabId="3" name="СводнаяТаблица3"/>
    <pivotTable tabId="3" name="СводнаяТаблица7"/>
    <pivotTable tabId="3" name="СводнаяТаблица8"/>
    <pivotTable tabId="3" name="СводнаяТаблица9"/>
  </pivotTables>
  <data>
    <tabular pivotCacheId="1">
      <items count="51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27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Year" sourceName="Year">
  <pivotTables>
    <pivotTable tabId="3" name="СводнаяТаблица1"/>
    <pivotTable tabId="3" name="СводнаяТаблица3"/>
    <pivotTable tabId="3" name="СводнаяТаблица7"/>
    <pivotTable tabId="3" name="СводнаяТаблица8"/>
    <pivotTable tabId="3" name="СводнаяТаблица9"/>
  </pivotTables>
  <data>
    <tabular pivotCacheId="1">
      <items count="10">
        <i x="1" s="1"/>
        <i x="2" s="1"/>
        <i x="3" s="1"/>
        <i x="4" s="1"/>
        <i x="5" s="1"/>
        <i x="6" s="1"/>
        <i x="7" s="1"/>
        <i x="8" s="1"/>
        <i x="0" s="1" nd="1"/>
        <i x="9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Type" sourceName="Type">
  <pivotTables>
    <pivotTable tabId="3" name="СводнаяТаблица1"/>
    <pivotTable tabId="3" name="СводнаяТаблица3"/>
    <pivotTable tabId="3" name="СводнаяТаблица7"/>
    <pivotTable tabId="3" name="СводнаяТаблица8"/>
    <pivotTable tabId="3" name="СводнаяТаблица9"/>
  </pivotTables>
  <data>
    <tabular pivotCacheId="1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" cache="Срез_Country" caption="Country" startItem="21" style="SlicerStyleLight2" rowHeight="241300"/>
  <slicer name="Year" cache="Срез_Year" caption="Year" rowHeight="241300"/>
  <slicer name="Type" cache="Срез_Type" caption="Type" style="SlicerStyleOther1" rowHeight="241300"/>
</slicer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0"/>
  <sheetViews>
    <sheetView topLeftCell="A1252" workbookViewId="0">
      <selection activeCell="E8" sqref="E8"/>
    </sheetView>
  </sheetViews>
  <sheetFormatPr defaultRowHeight="14.5" x14ac:dyDescent="0.35"/>
  <cols>
    <col min="1" max="1" width="17.26953125" bestFit="1" customWidth="1"/>
    <col min="2" max="2" width="7.7265625" customWidth="1"/>
    <col min="3" max="3" width="7" customWidth="1"/>
    <col min="4" max="4" width="10.36328125" style="2" customWidth="1"/>
    <col min="5" max="5" width="12.54296875" style="1" customWidth="1"/>
    <col min="6" max="6" width="9.26953125" customWidth="1"/>
    <col min="7" max="7" width="21.54296875" customWidth="1"/>
    <col min="8" max="8" width="26.08984375" customWidth="1"/>
  </cols>
  <sheetData>
    <row r="1" spans="1:8" ht="15.5" x14ac:dyDescent="0.35">
      <c r="A1" s="4" t="s">
        <v>0</v>
      </c>
      <c r="B1" s="4" t="s">
        <v>1</v>
      </c>
      <c r="C1" s="4" t="s">
        <v>2</v>
      </c>
      <c r="D1" s="9" t="s">
        <v>3</v>
      </c>
      <c r="E1" s="10" t="s">
        <v>4</v>
      </c>
      <c r="F1" s="4" t="s">
        <v>5</v>
      </c>
      <c r="G1" s="4" t="s">
        <v>6</v>
      </c>
      <c r="H1" s="4" t="s">
        <v>7</v>
      </c>
    </row>
    <row r="2" spans="1:8" ht="15.5" x14ac:dyDescent="0.35">
      <c r="A2" s="4" t="s">
        <v>8</v>
      </c>
      <c r="B2" s="4">
        <v>2004</v>
      </c>
      <c r="C2" s="4" t="s">
        <v>9</v>
      </c>
      <c r="D2" s="9">
        <v>106</v>
      </c>
      <c r="E2" s="10" t="s">
        <v>10</v>
      </c>
      <c r="F2" s="4">
        <v>9</v>
      </c>
      <c r="G2" s="4" t="s">
        <v>11</v>
      </c>
      <c r="H2" s="4" t="s">
        <v>12</v>
      </c>
    </row>
    <row r="3" spans="1:8" ht="15.5" x14ac:dyDescent="0.35">
      <c r="A3" s="4" t="s">
        <v>8</v>
      </c>
      <c r="B3" s="4">
        <v>2005</v>
      </c>
      <c r="C3" s="4" t="s">
        <v>9</v>
      </c>
      <c r="D3" s="9">
        <v>53</v>
      </c>
      <c r="E3" s="10" t="s">
        <v>13</v>
      </c>
      <c r="F3" s="4">
        <v>8</v>
      </c>
      <c r="G3" s="4" t="s">
        <v>14</v>
      </c>
      <c r="H3" s="4" t="s">
        <v>15</v>
      </c>
    </row>
    <row r="4" spans="1:8" ht="15.5" x14ac:dyDescent="0.35">
      <c r="A4" s="4" t="s">
        <v>8</v>
      </c>
      <c r="B4" s="4">
        <v>2008</v>
      </c>
      <c r="C4" s="4" t="s">
        <v>9</v>
      </c>
      <c r="D4" s="9">
        <v>55</v>
      </c>
      <c r="E4" s="10" t="s">
        <v>16</v>
      </c>
      <c r="F4" s="4">
        <v>3</v>
      </c>
      <c r="G4" s="4" t="s">
        <v>17</v>
      </c>
      <c r="H4" s="4" t="s">
        <v>18</v>
      </c>
    </row>
    <row r="5" spans="1:8" ht="15.5" x14ac:dyDescent="0.35">
      <c r="A5" s="4" t="s">
        <v>8</v>
      </c>
      <c r="B5" s="4">
        <v>2009</v>
      </c>
      <c r="C5" s="4" t="s">
        <v>9</v>
      </c>
      <c r="D5" s="9">
        <v>48</v>
      </c>
      <c r="E5" s="10" t="s">
        <v>16</v>
      </c>
      <c r="F5" s="4">
        <v>19</v>
      </c>
      <c r="G5" s="4" t="s">
        <v>19</v>
      </c>
      <c r="H5" s="4" t="s">
        <v>20</v>
      </c>
    </row>
    <row r="6" spans="1:8" ht="15.5" x14ac:dyDescent="0.35">
      <c r="A6" s="4" t="s">
        <v>8</v>
      </c>
      <c r="B6" s="4">
        <v>2010</v>
      </c>
      <c r="C6" s="4" t="s">
        <v>9</v>
      </c>
      <c r="D6" s="9">
        <v>62</v>
      </c>
      <c r="E6" s="10" t="s">
        <v>21</v>
      </c>
      <c r="F6" s="4">
        <v>15</v>
      </c>
      <c r="G6" s="4" t="s">
        <v>22</v>
      </c>
      <c r="H6" s="4" t="s">
        <v>23</v>
      </c>
    </row>
    <row r="7" spans="1:8" ht="15.5" x14ac:dyDescent="0.35">
      <c r="A7" s="4" t="s">
        <v>8</v>
      </c>
      <c r="B7" s="4">
        <v>2012</v>
      </c>
      <c r="C7" s="4" t="s">
        <v>9</v>
      </c>
      <c r="D7" s="9">
        <v>146</v>
      </c>
      <c r="E7" s="10" t="s">
        <v>24</v>
      </c>
      <c r="F7" s="4">
        <v>3</v>
      </c>
      <c r="G7" s="4" t="s">
        <v>25</v>
      </c>
      <c r="H7" s="4" t="s">
        <v>26</v>
      </c>
    </row>
    <row r="8" spans="1:8" ht="15.5" x14ac:dyDescent="0.35">
      <c r="A8" s="4" t="s">
        <v>8</v>
      </c>
      <c r="B8" s="4">
        <v>2015</v>
      </c>
      <c r="C8" s="4" t="s">
        <v>9</v>
      </c>
      <c r="D8" s="9">
        <v>34</v>
      </c>
      <c r="E8" s="10" t="s">
        <v>27</v>
      </c>
      <c r="F8" s="4">
        <v>26</v>
      </c>
      <c r="G8" s="4" t="s">
        <v>28</v>
      </c>
      <c r="H8" s="4" t="s">
        <v>29</v>
      </c>
    </row>
    <row r="9" spans="1:8" ht="15.5" x14ac:dyDescent="0.35">
      <c r="A9" s="4" t="s">
        <v>8</v>
      </c>
      <c r="B9" s="4">
        <v>2018</v>
      </c>
      <c r="C9" s="4" t="s">
        <v>9</v>
      </c>
      <c r="D9" s="9">
        <v>184</v>
      </c>
      <c r="E9" s="10" t="s">
        <v>30</v>
      </c>
      <c r="F9" s="4">
        <v>12</v>
      </c>
      <c r="G9" s="4" t="s">
        <v>31</v>
      </c>
      <c r="H9" s="4" t="s">
        <v>32</v>
      </c>
    </row>
    <row r="10" spans="1:8" ht="15.5" x14ac:dyDescent="0.35">
      <c r="A10" s="4" t="s">
        <v>8</v>
      </c>
      <c r="B10" s="4">
        <v>2019</v>
      </c>
      <c r="C10" s="4" t="s">
        <v>9</v>
      </c>
      <c r="D10" s="9">
        <v>90</v>
      </c>
      <c r="E10" s="10" t="s">
        <v>33</v>
      </c>
      <c r="F10" s="4">
        <v>2</v>
      </c>
      <c r="G10" s="4" t="s">
        <v>34</v>
      </c>
      <c r="H10" s="4" t="s">
        <v>35</v>
      </c>
    </row>
    <row r="11" spans="1:8" ht="15.5" x14ac:dyDescent="0.35">
      <c r="A11" s="4" t="s">
        <v>8</v>
      </c>
      <c r="B11" s="4">
        <v>2021</v>
      </c>
      <c r="C11" s="4" t="s">
        <v>9</v>
      </c>
      <c r="D11" s="9">
        <v>57</v>
      </c>
      <c r="E11" s="10" t="s">
        <v>36</v>
      </c>
      <c r="F11" s="4">
        <v>2</v>
      </c>
      <c r="G11" s="4" t="s">
        <v>37</v>
      </c>
      <c r="H11" s="4" t="s">
        <v>38</v>
      </c>
    </row>
    <row r="12" spans="1:8" ht="15.5" x14ac:dyDescent="0.35">
      <c r="A12" s="4" t="s">
        <v>39</v>
      </c>
      <c r="B12" s="4">
        <v>2006</v>
      </c>
      <c r="C12" s="4" t="s">
        <v>9</v>
      </c>
      <c r="D12" s="9">
        <v>129</v>
      </c>
      <c r="E12" s="10" t="s">
        <v>40</v>
      </c>
      <c r="F12" s="4">
        <v>24</v>
      </c>
      <c r="G12" s="4" t="s">
        <v>41</v>
      </c>
      <c r="H12" s="4" t="s">
        <v>42</v>
      </c>
    </row>
    <row r="13" spans="1:8" ht="15.5" x14ac:dyDescent="0.35">
      <c r="A13" s="4" t="s">
        <v>39</v>
      </c>
      <c r="B13" s="4">
        <v>2007</v>
      </c>
      <c r="C13" s="4" t="s">
        <v>9</v>
      </c>
      <c r="D13" s="9">
        <v>138</v>
      </c>
      <c r="E13" s="10" t="s">
        <v>40</v>
      </c>
      <c r="F13" s="4">
        <v>23</v>
      </c>
      <c r="G13" s="4" t="s">
        <v>43</v>
      </c>
      <c r="H13" s="4" t="s">
        <v>44</v>
      </c>
    </row>
    <row r="14" spans="1:8" ht="15.5" x14ac:dyDescent="0.35">
      <c r="A14" s="4" t="s">
        <v>39</v>
      </c>
      <c r="B14" s="4">
        <v>2008</v>
      </c>
      <c r="C14" s="4" t="s">
        <v>9</v>
      </c>
      <c r="D14" s="9">
        <v>199</v>
      </c>
      <c r="E14" s="10" t="s">
        <v>45</v>
      </c>
      <c r="F14" s="4">
        <v>5</v>
      </c>
      <c r="G14" s="4" t="s">
        <v>46</v>
      </c>
      <c r="H14" s="4" t="s">
        <v>47</v>
      </c>
    </row>
    <row r="15" spans="1:8" ht="15.5" x14ac:dyDescent="0.35">
      <c r="A15" s="4" t="s">
        <v>39</v>
      </c>
      <c r="B15" s="4">
        <v>2009</v>
      </c>
      <c r="C15" s="4" t="s">
        <v>9</v>
      </c>
      <c r="D15" s="9">
        <v>92</v>
      </c>
      <c r="E15" s="10" t="s">
        <v>48</v>
      </c>
      <c r="F15" s="4">
        <v>9</v>
      </c>
      <c r="G15" s="4" t="s">
        <v>49</v>
      </c>
      <c r="H15" s="4" t="s">
        <v>50</v>
      </c>
    </row>
    <row r="16" spans="1:8" ht="15.5" x14ac:dyDescent="0.35">
      <c r="A16" s="4" t="s">
        <v>39</v>
      </c>
      <c r="B16" s="4">
        <v>2010</v>
      </c>
      <c r="C16" s="4" t="s">
        <v>9</v>
      </c>
      <c r="D16" s="9">
        <v>141</v>
      </c>
      <c r="E16" s="10" t="s">
        <v>51</v>
      </c>
      <c r="F16" s="4">
        <v>21</v>
      </c>
      <c r="G16" s="4" t="s">
        <v>52</v>
      </c>
      <c r="H16" s="4" t="s">
        <v>53</v>
      </c>
    </row>
    <row r="17" spans="1:8" ht="15.5" x14ac:dyDescent="0.35">
      <c r="A17" s="4" t="s">
        <v>39</v>
      </c>
      <c r="B17" s="4">
        <v>2013</v>
      </c>
      <c r="C17" s="4" t="s">
        <v>9</v>
      </c>
      <c r="D17" s="9">
        <v>41</v>
      </c>
      <c r="E17" s="10" t="s">
        <v>54</v>
      </c>
      <c r="F17" s="4">
        <v>12</v>
      </c>
      <c r="G17" s="4" t="s">
        <v>55</v>
      </c>
      <c r="H17" s="4" t="s">
        <v>56</v>
      </c>
    </row>
    <row r="18" spans="1:8" ht="15.5" x14ac:dyDescent="0.35">
      <c r="A18" s="4" t="s">
        <v>39</v>
      </c>
      <c r="B18" s="4">
        <v>2014</v>
      </c>
      <c r="C18" s="4" t="s">
        <v>9</v>
      </c>
      <c r="D18" s="9">
        <v>174</v>
      </c>
      <c r="E18" s="10" t="s">
        <v>57</v>
      </c>
      <c r="F18" s="4">
        <v>7</v>
      </c>
      <c r="G18" s="4" t="s">
        <v>58</v>
      </c>
      <c r="H18" s="4" t="s">
        <v>59</v>
      </c>
    </row>
    <row r="19" spans="1:8" ht="15.5" x14ac:dyDescent="0.35">
      <c r="A19" s="4" t="s">
        <v>39</v>
      </c>
      <c r="B19" s="4">
        <v>2015</v>
      </c>
      <c r="C19" s="4" t="s">
        <v>9</v>
      </c>
      <c r="D19" s="9">
        <v>34</v>
      </c>
      <c r="E19" s="10" t="s">
        <v>60</v>
      </c>
      <c r="F19" s="4">
        <v>6</v>
      </c>
      <c r="G19" s="4" t="s">
        <v>61</v>
      </c>
      <c r="H19" s="4" t="s">
        <v>62</v>
      </c>
    </row>
    <row r="20" spans="1:8" ht="15.5" x14ac:dyDescent="0.35">
      <c r="A20" s="4" t="s">
        <v>39</v>
      </c>
      <c r="B20" s="4">
        <v>2016</v>
      </c>
      <c r="C20" s="4" t="s">
        <v>9</v>
      </c>
      <c r="D20" s="9">
        <v>249</v>
      </c>
      <c r="E20" s="10" t="s">
        <v>63</v>
      </c>
      <c r="F20" s="4">
        <v>26</v>
      </c>
      <c r="G20" s="4" t="s">
        <v>64</v>
      </c>
      <c r="H20" s="4" t="s">
        <v>65</v>
      </c>
    </row>
    <row r="21" spans="1:8" ht="15.5" x14ac:dyDescent="0.35">
      <c r="A21" s="4" t="s">
        <v>39</v>
      </c>
      <c r="B21" s="4">
        <v>2017</v>
      </c>
      <c r="C21" s="4" t="s">
        <v>9</v>
      </c>
      <c r="D21" s="9">
        <v>79</v>
      </c>
      <c r="E21" s="10" t="s">
        <v>54</v>
      </c>
      <c r="F21" s="4">
        <v>5</v>
      </c>
      <c r="G21" s="4" t="s">
        <v>66</v>
      </c>
      <c r="H21" s="4" t="s">
        <v>67</v>
      </c>
    </row>
    <row r="22" spans="1:8" ht="15.5" x14ac:dyDescent="0.35">
      <c r="A22" s="4" t="s">
        <v>39</v>
      </c>
      <c r="B22" s="4">
        <v>2022</v>
      </c>
      <c r="C22" s="4" t="s">
        <v>9</v>
      </c>
      <c r="D22" s="9">
        <v>61</v>
      </c>
      <c r="E22" s="10" t="s">
        <v>68</v>
      </c>
      <c r="F22" s="4">
        <v>8</v>
      </c>
      <c r="G22" s="4" t="s">
        <v>69</v>
      </c>
      <c r="H22" s="4" t="s">
        <v>70</v>
      </c>
    </row>
    <row r="23" spans="1:8" ht="15.5" x14ac:dyDescent="0.35">
      <c r="A23" s="4" t="s">
        <v>71</v>
      </c>
      <c r="B23" s="4">
        <v>2015</v>
      </c>
      <c r="C23" s="4" t="s">
        <v>9</v>
      </c>
      <c r="D23" s="9">
        <v>196</v>
      </c>
      <c r="E23" s="10" t="s">
        <v>72</v>
      </c>
      <c r="F23" s="4">
        <v>12</v>
      </c>
      <c r="G23" s="4" t="s">
        <v>73</v>
      </c>
      <c r="H23" s="4" t="s">
        <v>74</v>
      </c>
    </row>
    <row r="24" spans="1:8" ht="15.5" x14ac:dyDescent="0.35">
      <c r="A24" s="4" t="s">
        <v>71</v>
      </c>
      <c r="B24" s="4">
        <v>2016</v>
      </c>
      <c r="C24" s="4" t="s">
        <v>9</v>
      </c>
      <c r="D24" s="9">
        <v>511</v>
      </c>
      <c r="E24" s="10" t="s">
        <v>75</v>
      </c>
      <c r="F24" s="4">
        <v>13</v>
      </c>
      <c r="G24" s="4" t="s">
        <v>76</v>
      </c>
      <c r="H24" s="4" t="s">
        <v>77</v>
      </c>
    </row>
    <row r="25" spans="1:8" ht="15.5" x14ac:dyDescent="0.35">
      <c r="A25" s="4" t="s">
        <v>71</v>
      </c>
      <c r="B25" s="4">
        <v>2017</v>
      </c>
      <c r="C25" s="4" t="s">
        <v>9</v>
      </c>
      <c r="D25" s="9">
        <v>173</v>
      </c>
      <c r="E25" s="10" t="s">
        <v>78</v>
      </c>
      <c r="F25" s="4">
        <v>14</v>
      </c>
      <c r="G25" s="4" t="s">
        <v>79</v>
      </c>
      <c r="H25" s="4" t="s">
        <v>80</v>
      </c>
    </row>
    <row r="26" spans="1:8" ht="15.5" x14ac:dyDescent="0.35">
      <c r="A26" s="4" t="s">
        <v>71</v>
      </c>
      <c r="B26" s="4">
        <v>2018</v>
      </c>
      <c r="C26" s="4" t="s">
        <v>9</v>
      </c>
      <c r="D26" s="9">
        <v>99</v>
      </c>
      <c r="E26" s="10" t="s">
        <v>81</v>
      </c>
      <c r="F26" s="4">
        <v>16</v>
      </c>
      <c r="G26" s="4" t="s">
        <v>82</v>
      </c>
      <c r="H26" s="4" t="s">
        <v>83</v>
      </c>
    </row>
    <row r="27" spans="1:8" ht="15.5" x14ac:dyDescent="0.35">
      <c r="A27" s="4" t="s">
        <v>71</v>
      </c>
      <c r="B27" s="4">
        <v>2019</v>
      </c>
      <c r="C27" s="4" t="s">
        <v>9</v>
      </c>
      <c r="D27" s="9">
        <v>284</v>
      </c>
      <c r="E27" s="10" t="s">
        <v>78</v>
      </c>
      <c r="F27" s="4">
        <v>25</v>
      </c>
      <c r="G27" s="4" t="s">
        <v>84</v>
      </c>
      <c r="H27" s="4" t="s">
        <v>85</v>
      </c>
    </row>
    <row r="28" spans="1:8" ht="15.5" x14ac:dyDescent="0.35">
      <c r="A28" s="4" t="s">
        <v>71</v>
      </c>
      <c r="B28" s="4">
        <v>2022</v>
      </c>
      <c r="C28" s="4" t="s">
        <v>9</v>
      </c>
      <c r="D28" s="9">
        <v>125</v>
      </c>
      <c r="E28" s="10" t="s">
        <v>86</v>
      </c>
      <c r="F28" s="4">
        <v>21</v>
      </c>
      <c r="G28" s="4" t="s">
        <v>87</v>
      </c>
      <c r="H28" s="4" t="s">
        <v>88</v>
      </c>
    </row>
    <row r="29" spans="1:8" ht="15.5" x14ac:dyDescent="0.35">
      <c r="A29" s="4" t="s">
        <v>89</v>
      </c>
      <c r="B29" s="4">
        <v>1957</v>
      </c>
      <c r="C29" s="4"/>
      <c r="D29" s="9">
        <v>3</v>
      </c>
      <c r="E29" s="10" t="s">
        <v>90</v>
      </c>
      <c r="F29" s="4">
        <v>5</v>
      </c>
      <c r="G29" s="4" t="s">
        <v>91</v>
      </c>
      <c r="H29" s="4" t="s">
        <v>92</v>
      </c>
    </row>
    <row r="30" spans="1:8" ht="15.5" x14ac:dyDescent="0.35">
      <c r="A30" s="4" t="s">
        <v>89</v>
      </c>
      <c r="B30" s="4">
        <v>1958</v>
      </c>
      <c r="C30" s="4"/>
      <c r="D30" s="9">
        <v>8</v>
      </c>
      <c r="E30" s="10" t="s">
        <v>93</v>
      </c>
      <c r="F30" s="4">
        <v>9</v>
      </c>
      <c r="G30" s="4" t="s">
        <v>94</v>
      </c>
      <c r="H30" s="4" t="s">
        <v>95</v>
      </c>
    </row>
    <row r="31" spans="1:8" ht="15.5" x14ac:dyDescent="0.35">
      <c r="A31" s="4" t="s">
        <v>89</v>
      </c>
      <c r="B31" s="4">
        <v>1959</v>
      </c>
      <c r="C31" s="4"/>
      <c r="D31" s="9">
        <v>4</v>
      </c>
      <c r="E31" s="10" t="s">
        <v>96</v>
      </c>
      <c r="F31" s="4">
        <v>9</v>
      </c>
      <c r="G31" s="4" t="s">
        <v>97</v>
      </c>
      <c r="H31" s="4" t="s">
        <v>98</v>
      </c>
    </row>
    <row r="32" spans="1:8" ht="15.5" x14ac:dyDescent="0.35">
      <c r="A32" s="4" t="s">
        <v>89</v>
      </c>
      <c r="B32" s="4">
        <v>1960</v>
      </c>
      <c r="C32" s="4"/>
      <c r="D32" s="9">
        <v>6</v>
      </c>
      <c r="E32" s="10" t="s">
        <v>99</v>
      </c>
      <c r="F32" s="4">
        <v>7</v>
      </c>
      <c r="G32" s="4" t="s">
        <v>100</v>
      </c>
      <c r="H32" s="4" t="s">
        <v>101</v>
      </c>
    </row>
    <row r="33" spans="1:8" ht="15.5" x14ac:dyDescent="0.35">
      <c r="A33" s="4" t="s">
        <v>89</v>
      </c>
      <c r="B33" s="4">
        <v>1961</v>
      </c>
      <c r="C33" s="4"/>
      <c r="D33" s="9">
        <v>1</v>
      </c>
      <c r="E33" s="10" t="s">
        <v>102</v>
      </c>
      <c r="F33" s="4">
        <v>3</v>
      </c>
      <c r="G33" s="4" t="s">
        <v>103</v>
      </c>
      <c r="H33" s="4" t="s">
        <v>104</v>
      </c>
    </row>
    <row r="34" spans="1:8" ht="15.5" x14ac:dyDescent="0.35">
      <c r="A34" s="4" t="s">
        <v>89</v>
      </c>
      <c r="B34" s="4">
        <v>1962</v>
      </c>
      <c r="C34" s="4"/>
      <c r="D34" s="9">
        <v>0</v>
      </c>
      <c r="E34" s="10" t="s">
        <v>105</v>
      </c>
      <c r="F34" s="4">
        <v>4</v>
      </c>
      <c r="G34" s="4" t="s">
        <v>106</v>
      </c>
      <c r="H34" s="4" t="s">
        <v>107</v>
      </c>
    </row>
    <row r="35" spans="1:8" ht="15.5" x14ac:dyDescent="0.35">
      <c r="A35" s="4" t="s">
        <v>89</v>
      </c>
      <c r="B35" s="4">
        <v>1963</v>
      </c>
      <c r="C35" s="4"/>
      <c r="D35" s="9">
        <v>16</v>
      </c>
      <c r="E35" s="10" t="s">
        <v>108</v>
      </c>
      <c r="F35" s="4">
        <v>4</v>
      </c>
      <c r="G35" s="4" t="s">
        <v>109</v>
      </c>
      <c r="H35" s="4" t="s">
        <v>110</v>
      </c>
    </row>
    <row r="36" spans="1:8" ht="15.5" x14ac:dyDescent="0.35">
      <c r="A36" s="4" t="s">
        <v>89</v>
      </c>
      <c r="B36" s="4">
        <v>1964</v>
      </c>
      <c r="C36" s="4"/>
      <c r="D36" s="9">
        <v>11</v>
      </c>
      <c r="E36" s="10" t="s">
        <v>111</v>
      </c>
      <c r="F36" s="4">
        <v>6</v>
      </c>
      <c r="G36" s="4" t="s">
        <v>112</v>
      </c>
      <c r="H36" s="4" t="s">
        <v>113</v>
      </c>
    </row>
    <row r="37" spans="1:8" ht="15.5" x14ac:dyDescent="0.35">
      <c r="A37" s="4" t="s">
        <v>89</v>
      </c>
      <c r="B37" s="4">
        <v>1965</v>
      </c>
      <c r="C37" s="4"/>
      <c r="D37" s="9">
        <v>16</v>
      </c>
      <c r="E37" s="10" t="s">
        <v>114</v>
      </c>
      <c r="F37" s="4">
        <v>6</v>
      </c>
      <c r="G37" s="4" t="s">
        <v>112</v>
      </c>
      <c r="H37" s="4" t="s">
        <v>115</v>
      </c>
    </row>
    <row r="38" spans="1:8" ht="15.5" x14ac:dyDescent="0.35">
      <c r="A38" s="4" t="s">
        <v>89</v>
      </c>
      <c r="B38" s="4">
        <v>1966</v>
      </c>
      <c r="C38" s="4"/>
      <c r="D38" s="9">
        <v>31</v>
      </c>
      <c r="E38" s="10" t="s">
        <v>116</v>
      </c>
      <c r="F38" s="4">
        <v>9</v>
      </c>
      <c r="G38" s="4" t="s">
        <v>112</v>
      </c>
      <c r="H38" s="4" t="s">
        <v>117</v>
      </c>
    </row>
    <row r="39" spans="1:8" ht="15.5" x14ac:dyDescent="0.35">
      <c r="A39" s="4" t="s">
        <v>89</v>
      </c>
      <c r="B39" s="4">
        <v>1967</v>
      </c>
      <c r="C39" s="4"/>
      <c r="D39" s="9">
        <v>2</v>
      </c>
      <c r="E39" s="10" t="s">
        <v>118</v>
      </c>
      <c r="F39" s="4">
        <v>3</v>
      </c>
      <c r="G39" s="4" t="s">
        <v>119</v>
      </c>
      <c r="H39" s="4" t="s">
        <v>120</v>
      </c>
    </row>
    <row r="40" spans="1:8" ht="15.5" x14ac:dyDescent="0.35">
      <c r="A40" s="4" t="s">
        <v>89</v>
      </c>
      <c r="B40" s="4">
        <v>1968</v>
      </c>
      <c r="C40" s="4"/>
      <c r="D40" s="9">
        <v>2</v>
      </c>
      <c r="E40" s="10" t="s">
        <v>121</v>
      </c>
      <c r="F40" s="4">
        <v>4</v>
      </c>
      <c r="G40" s="4" t="s">
        <v>122</v>
      </c>
      <c r="H40" s="4" t="s">
        <v>123</v>
      </c>
    </row>
    <row r="41" spans="1:8" ht="15.5" x14ac:dyDescent="0.35">
      <c r="A41" s="4" t="s">
        <v>89</v>
      </c>
      <c r="B41" s="4">
        <v>1971</v>
      </c>
      <c r="C41" s="4"/>
      <c r="D41" s="9">
        <v>66</v>
      </c>
      <c r="E41" s="10" t="s">
        <v>124</v>
      </c>
      <c r="F41" s="4">
        <v>1</v>
      </c>
      <c r="G41" s="4" t="s">
        <v>125</v>
      </c>
      <c r="H41" s="4" t="s">
        <v>126</v>
      </c>
    </row>
    <row r="42" spans="1:8" ht="15.5" x14ac:dyDescent="0.35">
      <c r="A42" s="4" t="s">
        <v>89</v>
      </c>
      <c r="B42" s="4">
        <v>1972</v>
      </c>
      <c r="C42" s="4"/>
      <c r="D42" s="9">
        <v>100</v>
      </c>
      <c r="E42" s="10" t="s">
        <v>127</v>
      </c>
      <c r="F42" s="4">
        <v>11</v>
      </c>
      <c r="G42" s="4" t="s">
        <v>128</v>
      </c>
      <c r="H42" s="4" t="s">
        <v>129</v>
      </c>
    </row>
    <row r="43" spans="1:8" ht="15.5" x14ac:dyDescent="0.35">
      <c r="A43" s="4" t="s">
        <v>89</v>
      </c>
      <c r="B43" s="4">
        <v>1976</v>
      </c>
      <c r="C43" s="4"/>
      <c r="D43" s="9">
        <v>80</v>
      </c>
      <c r="E43" s="10" t="s">
        <v>127</v>
      </c>
      <c r="F43" s="4">
        <v>14</v>
      </c>
      <c r="G43" s="4" t="s">
        <v>130</v>
      </c>
      <c r="H43" s="4" t="s">
        <v>131</v>
      </c>
    </row>
    <row r="44" spans="1:8" ht="15.5" x14ac:dyDescent="0.35">
      <c r="A44" s="4" t="s">
        <v>89</v>
      </c>
      <c r="B44" s="4">
        <v>1977</v>
      </c>
      <c r="C44" s="4"/>
      <c r="D44" s="9">
        <v>11</v>
      </c>
      <c r="E44" s="10" t="s">
        <v>132</v>
      </c>
      <c r="F44" s="4">
        <v>4</v>
      </c>
      <c r="G44" s="4" t="s">
        <v>133</v>
      </c>
      <c r="H44" s="4" t="s">
        <v>134</v>
      </c>
    </row>
    <row r="45" spans="1:8" ht="15.5" x14ac:dyDescent="0.35">
      <c r="A45" s="4" t="s">
        <v>89</v>
      </c>
      <c r="B45" s="4">
        <v>1978</v>
      </c>
      <c r="C45" s="4"/>
      <c r="D45" s="9">
        <v>14</v>
      </c>
      <c r="E45" s="10" t="s">
        <v>135</v>
      </c>
      <c r="F45" s="4">
        <v>19</v>
      </c>
      <c r="G45" s="4" t="s">
        <v>136</v>
      </c>
      <c r="H45" s="4" t="s">
        <v>137</v>
      </c>
    </row>
    <row r="46" spans="1:8" ht="15.5" x14ac:dyDescent="0.35">
      <c r="A46" s="4" t="s">
        <v>89</v>
      </c>
      <c r="B46" s="4">
        <v>1979</v>
      </c>
      <c r="C46" s="4"/>
      <c r="D46" s="9">
        <v>5</v>
      </c>
      <c r="E46" s="10" t="s">
        <v>138</v>
      </c>
      <c r="F46" s="4">
        <v>18</v>
      </c>
      <c r="G46" s="4" t="s">
        <v>139</v>
      </c>
      <c r="H46" s="4" t="s">
        <v>140</v>
      </c>
    </row>
    <row r="47" spans="1:8" ht="15.5" x14ac:dyDescent="0.35">
      <c r="A47" s="4" t="s">
        <v>89</v>
      </c>
      <c r="B47" s="4">
        <v>1980</v>
      </c>
      <c r="C47" s="4"/>
      <c r="D47" s="9">
        <v>64</v>
      </c>
      <c r="E47" s="10" t="s">
        <v>141</v>
      </c>
      <c r="F47" s="4">
        <v>1</v>
      </c>
      <c r="G47" s="4" t="s">
        <v>142</v>
      </c>
      <c r="H47" s="4" t="s">
        <v>143</v>
      </c>
    </row>
    <row r="48" spans="1:8" ht="15.5" x14ac:dyDescent="0.35">
      <c r="A48" s="4" t="s">
        <v>89</v>
      </c>
      <c r="B48" s="4">
        <v>1981</v>
      </c>
      <c r="C48" s="4"/>
      <c r="D48" s="9">
        <v>20</v>
      </c>
      <c r="E48" s="10" t="s">
        <v>144</v>
      </c>
      <c r="F48" s="4">
        <v>1</v>
      </c>
      <c r="G48" s="4" t="s">
        <v>145</v>
      </c>
      <c r="H48" s="4" t="s">
        <v>146</v>
      </c>
    </row>
    <row r="49" spans="1:8" ht="15.5" x14ac:dyDescent="0.35">
      <c r="A49" s="4" t="s">
        <v>89</v>
      </c>
      <c r="B49" s="4">
        <v>1982</v>
      </c>
      <c r="C49" s="4"/>
      <c r="D49" s="9">
        <v>57</v>
      </c>
      <c r="E49" s="10" t="s">
        <v>147</v>
      </c>
      <c r="F49" s="4">
        <v>10</v>
      </c>
      <c r="G49" s="4" t="s">
        <v>148</v>
      </c>
      <c r="H49" s="4" t="s">
        <v>149</v>
      </c>
    </row>
    <row r="50" spans="1:8" ht="15.5" x14ac:dyDescent="0.35">
      <c r="A50" s="4" t="s">
        <v>89</v>
      </c>
      <c r="B50" s="4">
        <v>1983</v>
      </c>
      <c r="C50" s="4"/>
      <c r="D50" s="9">
        <v>53</v>
      </c>
      <c r="E50" s="10" t="s">
        <v>150</v>
      </c>
      <c r="F50" s="4">
        <v>18</v>
      </c>
      <c r="G50" s="4" t="s">
        <v>151</v>
      </c>
      <c r="H50" s="4" t="s">
        <v>152</v>
      </c>
    </row>
    <row r="51" spans="1:8" ht="15.5" x14ac:dyDescent="0.35">
      <c r="A51" s="4" t="s">
        <v>89</v>
      </c>
      <c r="B51" s="4">
        <v>1984</v>
      </c>
      <c r="C51" s="4"/>
      <c r="D51" s="9">
        <v>5</v>
      </c>
      <c r="E51" s="10" t="s">
        <v>153</v>
      </c>
      <c r="F51" s="4">
        <v>13</v>
      </c>
      <c r="G51" s="4" t="s">
        <v>154</v>
      </c>
      <c r="H51" s="4" t="s">
        <v>155</v>
      </c>
    </row>
    <row r="52" spans="1:8" ht="15.5" x14ac:dyDescent="0.35">
      <c r="A52" s="4" t="s">
        <v>89</v>
      </c>
      <c r="B52" s="4">
        <v>1985</v>
      </c>
      <c r="C52" s="4"/>
      <c r="D52" s="9">
        <v>60</v>
      </c>
      <c r="E52" s="10" t="s">
        <v>141</v>
      </c>
      <c r="F52" s="4">
        <v>17</v>
      </c>
      <c r="G52" s="4" t="s">
        <v>156</v>
      </c>
      <c r="H52" s="4" t="s">
        <v>157</v>
      </c>
    </row>
    <row r="53" spans="1:8" ht="15.5" x14ac:dyDescent="0.35">
      <c r="A53" s="4" t="s">
        <v>89</v>
      </c>
      <c r="B53" s="4">
        <v>1986</v>
      </c>
      <c r="C53" s="4"/>
      <c r="D53" s="9">
        <v>12</v>
      </c>
      <c r="E53" s="10" t="s">
        <v>158</v>
      </c>
      <c r="F53" s="4">
        <v>16</v>
      </c>
      <c r="G53" s="4" t="s">
        <v>159</v>
      </c>
      <c r="H53" s="4" t="s">
        <v>160</v>
      </c>
    </row>
    <row r="54" spans="1:8" ht="15.5" x14ac:dyDescent="0.35">
      <c r="A54" s="4" t="s">
        <v>89</v>
      </c>
      <c r="B54" s="4">
        <v>1987</v>
      </c>
      <c r="C54" s="4"/>
      <c r="D54" s="9">
        <v>8</v>
      </c>
      <c r="E54" s="10" t="s">
        <v>161</v>
      </c>
      <c r="F54" s="4">
        <v>3</v>
      </c>
      <c r="G54" s="4" t="s">
        <v>156</v>
      </c>
      <c r="H54" s="4" t="s">
        <v>162</v>
      </c>
    </row>
    <row r="55" spans="1:8" ht="15.5" x14ac:dyDescent="0.35">
      <c r="A55" s="4" t="s">
        <v>89</v>
      </c>
      <c r="B55" s="4">
        <v>1988</v>
      </c>
      <c r="C55" s="4"/>
      <c r="D55" s="9">
        <v>0</v>
      </c>
      <c r="E55" s="10" t="s">
        <v>163</v>
      </c>
      <c r="F55" s="4">
        <v>12</v>
      </c>
      <c r="G55" s="4" t="s">
        <v>164</v>
      </c>
      <c r="H55" s="4" t="s">
        <v>165</v>
      </c>
    </row>
    <row r="56" spans="1:8" ht="15.5" x14ac:dyDescent="0.35">
      <c r="A56" s="4" t="s">
        <v>89</v>
      </c>
      <c r="B56" s="4">
        <v>1989</v>
      </c>
      <c r="C56" s="4"/>
      <c r="D56" s="9">
        <v>97</v>
      </c>
      <c r="E56" s="10" t="s">
        <v>166</v>
      </c>
      <c r="F56" s="4">
        <v>13</v>
      </c>
      <c r="G56" s="4" t="s">
        <v>167</v>
      </c>
      <c r="H56" s="4" t="s">
        <v>168</v>
      </c>
    </row>
    <row r="57" spans="1:8" ht="15.5" x14ac:dyDescent="0.35">
      <c r="A57" s="4" t="s">
        <v>89</v>
      </c>
      <c r="B57" s="4">
        <v>1990</v>
      </c>
      <c r="C57" s="4"/>
      <c r="D57" s="9">
        <v>58</v>
      </c>
      <c r="E57" s="10" t="s">
        <v>169</v>
      </c>
      <c r="F57" s="4">
        <v>20</v>
      </c>
      <c r="G57" s="4" t="s">
        <v>170</v>
      </c>
      <c r="H57" s="4" t="s">
        <v>171</v>
      </c>
    </row>
    <row r="58" spans="1:8" ht="15.5" x14ac:dyDescent="0.35">
      <c r="A58" s="4" t="s">
        <v>89</v>
      </c>
      <c r="B58" s="4">
        <v>1991</v>
      </c>
      <c r="C58" s="4"/>
      <c r="D58" s="9">
        <v>0</v>
      </c>
      <c r="E58" s="10" t="s">
        <v>172</v>
      </c>
      <c r="F58" s="4">
        <v>6</v>
      </c>
      <c r="G58" s="4" t="s">
        <v>167</v>
      </c>
      <c r="H58" s="4" t="s">
        <v>173</v>
      </c>
    </row>
    <row r="59" spans="1:8" ht="15.5" x14ac:dyDescent="0.35">
      <c r="A59" s="4" t="s">
        <v>89</v>
      </c>
      <c r="B59" s="4">
        <v>1992</v>
      </c>
      <c r="C59" s="4"/>
      <c r="D59" s="9">
        <v>63</v>
      </c>
      <c r="E59" s="10" t="s">
        <v>174</v>
      </c>
      <c r="F59" s="4">
        <v>15</v>
      </c>
      <c r="G59" s="4" t="s">
        <v>175</v>
      </c>
      <c r="H59" s="4" t="s">
        <v>176</v>
      </c>
    </row>
    <row r="60" spans="1:8" ht="15.5" x14ac:dyDescent="0.35">
      <c r="A60" s="4" t="s">
        <v>89</v>
      </c>
      <c r="B60" s="4">
        <v>1993</v>
      </c>
      <c r="C60" s="4"/>
      <c r="D60" s="9">
        <v>32</v>
      </c>
      <c r="E60" s="10" t="s">
        <v>177</v>
      </c>
      <c r="F60" s="4">
        <v>10</v>
      </c>
      <c r="G60" s="4" t="s">
        <v>175</v>
      </c>
      <c r="H60" s="4" t="s">
        <v>178</v>
      </c>
    </row>
    <row r="61" spans="1:8" ht="15.5" x14ac:dyDescent="0.35">
      <c r="A61" s="4" t="s">
        <v>89</v>
      </c>
      <c r="B61" s="4">
        <v>1994</v>
      </c>
      <c r="C61" s="4"/>
      <c r="D61" s="9">
        <v>19</v>
      </c>
      <c r="E61" s="10" t="s">
        <v>16</v>
      </c>
      <c r="F61" s="4">
        <v>20</v>
      </c>
      <c r="G61" s="4" t="s">
        <v>179</v>
      </c>
      <c r="H61" s="4" t="s">
        <v>180</v>
      </c>
    </row>
    <row r="62" spans="1:8" ht="15.5" x14ac:dyDescent="0.35">
      <c r="A62" s="4" t="s">
        <v>89</v>
      </c>
      <c r="B62" s="4">
        <v>1995</v>
      </c>
      <c r="C62" s="4"/>
      <c r="D62" s="9">
        <v>67</v>
      </c>
      <c r="E62" s="10" t="s">
        <v>181</v>
      </c>
      <c r="F62" s="4">
        <v>8</v>
      </c>
      <c r="G62" s="4" t="s">
        <v>182</v>
      </c>
      <c r="H62" s="4" t="s">
        <v>183</v>
      </c>
    </row>
    <row r="63" spans="1:8" ht="15.5" x14ac:dyDescent="0.35">
      <c r="A63" s="4" t="s">
        <v>89</v>
      </c>
      <c r="B63" s="4">
        <v>1996</v>
      </c>
      <c r="C63" s="4"/>
      <c r="D63" s="9">
        <v>68</v>
      </c>
      <c r="E63" s="10" t="s">
        <v>174</v>
      </c>
      <c r="F63" s="4">
        <v>8</v>
      </c>
      <c r="G63" s="4" t="s">
        <v>184</v>
      </c>
      <c r="H63" s="4" t="s">
        <v>185</v>
      </c>
    </row>
    <row r="64" spans="1:8" ht="15.5" x14ac:dyDescent="0.35">
      <c r="A64" s="4" t="s">
        <v>89</v>
      </c>
      <c r="B64" s="4">
        <v>1997</v>
      </c>
      <c r="C64" s="4"/>
      <c r="D64" s="9">
        <v>12</v>
      </c>
      <c r="E64" s="10" t="s">
        <v>186</v>
      </c>
      <c r="F64" s="4">
        <v>4</v>
      </c>
      <c r="G64" s="4" t="s">
        <v>187</v>
      </c>
      <c r="H64" s="4" t="s">
        <v>188</v>
      </c>
    </row>
    <row r="65" spans="1:8" ht="15.5" x14ac:dyDescent="0.35">
      <c r="A65" s="4" t="s">
        <v>89</v>
      </c>
      <c r="B65" s="4">
        <v>1999</v>
      </c>
      <c r="C65" s="4"/>
      <c r="D65" s="9">
        <v>65</v>
      </c>
      <c r="E65" s="10" t="s">
        <v>174</v>
      </c>
      <c r="F65" s="4">
        <v>18</v>
      </c>
      <c r="G65" s="4" t="s">
        <v>189</v>
      </c>
      <c r="H65" s="4" t="s">
        <v>190</v>
      </c>
    </row>
    <row r="66" spans="1:8" ht="15.5" x14ac:dyDescent="0.35">
      <c r="A66" s="4" t="s">
        <v>89</v>
      </c>
      <c r="B66" s="4">
        <v>2000</v>
      </c>
      <c r="C66" s="4"/>
      <c r="D66" s="9">
        <v>34</v>
      </c>
      <c r="E66" s="10" t="s">
        <v>191</v>
      </c>
      <c r="F66" s="4">
        <v>24</v>
      </c>
      <c r="G66" s="4" t="s">
        <v>192</v>
      </c>
      <c r="H66" s="4" t="s">
        <v>193</v>
      </c>
    </row>
    <row r="67" spans="1:8" ht="15.5" x14ac:dyDescent="0.35">
      <c r="A67" s="4" t="s">
        <v>89</v>
      </c>
      <c r="B67" s="4">
        <v>2002</v>
      </c>
      <c r="C67" s="4"/>
      <c r="D67" s="9">
        <v>26</v>
      </c>
      <c r="E67" s="10" t="s">
        <v>194</v>
      </c>
      <c r="F67" s="4">
        <v>3</v>
      </c>
      <c r="G67" s="4" t="s">
        <v>195</v>
      </c>
      <c r="H67" s="4" t="s">
        <v>196</v>
      </c>
    </row>
    <row r="68" spans="1:8" ht="15.5" x14ac:dyDescent="0.35">
      <c r="A68" s="4" t="s">
        <v>89</v>
      </c>
      <c r="B68" s="4">
        <v>2003</v>
      </c>
      <c r="C68" s="4"/>
      <c r="D68" s="9">
        <v>101</v>
      </c>
      <c r="E68" s="10" t="s">
        <v>197</v>
      </c>
      <c r="F68" s="4">
        <v>2</v>
      </c>
      <c r="G68" s="4" t="s">
        <v>198</v>
      </c>
      <c r="H68" s="4" t="s">
        <v>199</v>
      </c>
    </row>
    <row r="69" spans="1:8" ht="15.5" x14ac:dyDescent="0.35">
      <c r="A69" s="4" t="s">
        <v>89</v>
      </c>
      <c r="B69" s="4">
        <v>2004</v>
      </c>
      <c r="C69" s="4" t="s">
        <v>9</v>
      </c>
      <c r="D69" s="9">
        <v>9</v>
      </c>
      <c r="E69" s="10" t="s">
        <v>200</v>
      </c>
      <c r="F69" s="4">
        <v>2</v>
      </c>
      <c r="G69" s="4" t="s">
        <v>201</v>
      </c>
      <c r="H69" s="4" t="s">
        <v>202</v>
      </c>
    </row>
    <row r="70" spans="1:8" ht="15.5" x14ac:dyDescent="0.35">
      <c r="A70" s="4" t="s">
        <v>89</v>
      </c>
      <c r="B70" s="4">
        <v>2011</v>
      </c>
      <c r="C70" s="4" t="s">
        <v>9</v>
      </c>
      <c r="D70" s="9">
        <v>64</v>
      </c>
      <c r="E70" s="10" t="s">
        <v>203</v>
      </c>
      <c r="F70" s="4">
        <v>18</v>
      </c>
      <c r="G70" s="4" t="s">
        <v>204</v>
      </c>
      <c r="H70" s="4" t="s">
        <v>205</v>
      </c>
    </row>
    <row r="71" spans="1:8" ht="15.5" x14ac:dyDescent="0.35">
      <c r="A71" s="4" t="s">
        <v>89</v>
      </c>
      <c r="B71" s="4">
        <v>2014</v>
      </c>
      <c r="C71" s="4" t="s">
        <v>9</v>
      </c>
      <c r="D71" s="9">
        <v>290</v>
      </c>
      <c r="E71" s="10" t="s">
        <v>206</v>
      </c>
      <c r="F71" s="4">
        <v>11</v>
      </c>
      <c r="G71" s="4" t="s">
        <v>207</v>
      </c>
      <c r="H71" s="4" t="s">
        <v>208</v>
      </c>
    </row>
    <row r="72" spans="1:8" ht="15.5" x14ac:dyDescent="0.35">
      <c r="A72" s="4" t="s">
        <v>89</v>
      </c>
      <c r="B72" s="4">
        <v>2015</v>
      </c>
      <c r="C72" s="4" t="s">
        <v>9</v>
      </c>
      <c r="D72" s="9">
        <v>0</v>
      </c>
      <c r="E72" s="10" t="s">
        <v>209</v>
      </c>
      <c r="F72" s="4">
        <v>14</v>
      </c>
      <c r="G72" s="4" t="s">
        <v>210</v>
      </c>
      <c r="H72" s="4" t="s">
        <v>211</v>
      </c>
    </row>
    <row r="73" spans="1:8" ht="15.5" x14ac:dyDescent="0.35">
      <c r="A73" s="4" t="s">
        <v>89</v>
      </c>
      <c r="B73" s="4">
        <v>2016</v>
      </c>
      <c r="C73" s="4" t="s">
        <v>9</v>
      </c>
      <c r="D73" s="9">
        <v>151</v>
      </c>
      <c r="E73" s="10" t="s">
        <v>212</v>
      </c>
      <c r="F73" s="4">
        <v>24</v>
      </c>
      <c r="G73" s="4" t="s">
        <v>213</v>
      </c>
      <c r="H73" s="4" t="s">
        <v>214</v>
      </c>
    </row>
    <row r="74" spans="1:8" ht="15.5" x14ac:dyDescent="0.35">
      <c r="A74" s="4" t="s">
        <v>89</v>
      </c>
      <c r="B74" s="4">
        <v>2017</v>
      </c>
      <c r="C74" s="4" t="s">
        <v>9</v>
      </c>
      <c r="D74" s="9">
        <v>93</v>
      </c>
      <c r="E74" s="10" t="s">
        <v>215</v>
      </c>
      <c r="F74" s="4">
        <v>4</v>
      </c>
      <c r="G74" s="4" t="s">
        <v>216</v>
      </c>
      <c r="H74" s="4" t="s">
        <v>217</v>
      </c>
    </row>
    <row r="75" spans="1:8" ht="15.5" x14ac:dyDescent="0.35">
      <c r="A75" s="4" t="s">
        <v>89</v>
      </c>
      <c r="B75" s="4">
        <v>2018</v>
      </c>
      <c r="C75" s="4" t="s">
        <v>9</v>
      </c>
      <c r="D75" s="9">
        <v>342</v>
      </c>
      <c r="E75" s="10" t="s">
        <v>218</v>
      </c>
      <c r="F75" s="4">
        <v>5</v>
      </c>
      <c r="G75" s="4" t="s">
        <v>219</v>
      </c>
      <c r="H75" s="4" t="s">
        <v>220</v>
      </c>
    </row>
    <row r="76" spans="1:8" ht="15.5" x14ac:dyDescent="0.35">
      <c r="A76" s="4" t="s">
        <v>221</v>
      </c>
      <c r="B76" s="4">
        <v>2008</v>
      </c>
      <c r="C76" s="4" t="s">
        <v>9</v>
      </c>
      <c r="D76" s="9">
        <v>132</v>
      </c>
      <c r="E76" s="10" t="s">
        <v>222</v>
      </c>
      <c r="F76" s="4">
        <v>20</v>
      </c>
      <c r="G76" s="4" t="s">
        <v>223</v>
      </c>
      <c r="H76" s="4" t="s">
        <v>224</v>
      </c>
    </row>
    <row r="77" spans="1:8" ht="15.5" x14ac:dyDescent="0.35">
      <c r="A77" s="4" t="s">
        <v>221</v>
      </c>
      <c r="B77" s="4">
        <v>2009</v>
      </c>
      <c r="C77" s="4" t="s">
        <v>9</v>
      </c>
      <c r="D77" s="9">
        <v>207</v>
      </c>
      <c r="E77" s="10" t="s">
        <v>225</v>
      </c>
      <c r="F77" s="4">
        <v>11</v>
      </c>
      <c r="G77" s="4" t="s">
        <v>226</v>
      </c>
      <c r="H77" s="4" t="s">
        <v>227</v>
      </c>
    </row>
    <row r="78" spans="1:8" ht="15.5" x14ac:dyDescent="0.35">
      <c r="A78" s="4" t="s">
        <v>221</v>
      </c>
      <c r="B78" s="4">
        <v>2010</v>
      </c>
      <c r="C78" s="4" t="s">
        <v>9</v>
      </c>
      <c r="D78" s="9">
        <v>145</v>
      </c>
      <c r="E78" s="10" t="s">
        <v>228</v>
      </c>
      <c r="F78" s="4">
        <v>1</v>
      </c>
      <c r="G78" s="4" t="s">
        <v>229</v>
      </c>
      <c r="H78" s="4" t="s">
        <v>230</v>
      </c>
    </row>
    <row r="79" spans="1:8" ht="15.5" x14ac:dyDescent="0.35">
      <c r="A79" s="4" t="s">
        <v>221</v>
      </c>
      <c r="B79" s="4">
        <v>2011</v>
      </c>
      <c r="C79" s="4" t="s">
        <v>9</v>
      </c>
      <c r="D79" s="9">
        <v>221</v>
      </c>
      <c r="E79" s="10" t="s">
        <v>231</v>
      </c>
      <c r="F79" s="4">
        <v>19</v>
      </c>
      <c r="G79" s="4" t="s">
        <v>232</v>
      </c>
      <c r="H79" s="4" t="s">
        <v>233</v>
      </c>
    </row>
    <row r="80" spans="1:8" ht="15.5" x14ac:dyDescent="0.35">
      <c r="A80" s="4" t="s">
        <v>221</v>
      </c>
      <c r="B80" s="4">
        <v>2012</v>
      </c>
      <c r="C80" s="4" t="s">
        <v>9</v>
      </c>
      <c r="D80" s="9">
        <v>150</v>
      </c>
      <c r="E80" s="10" t="s">
        <v>57</v>
      </c>
      <c r="F80" s="4">
        <v>13</v>
      </c>
      <c r="G80" s="4" t="s">
        <v>234</v>
      </c>
      <c r="H80" s="4" t="s">
        <v>235</v>
      </c>
    </row>
    <row r="81" spans="1:8" ht="15.5" x14ac:dyDescent="0.35">
      <c r="A81" s="4" t="s">
        <v>221</v>
      </c>
      <c r="B81" s="4">
        <v>2013</v>
      </c>
      <c r="C81" s="4" t="s">
        <v>9</v>
      </c>
      <c r="D81" s="9">
        <v>234</v>
      </c>
      <c r="E81" s="10" t="s">
        <v>75</v>
      </c>
      <c r="F81" s="4">
        <v>20</v>
      </c>
      <c r="G81" s="4" t="s">
        <v>236</v>
      </c>
      <c r="H81" s="4" t="s">
        <v>237</v>
      </c>
    </row>
    <row r="82" spans="1:8" ht="15.5" x14ac:dyDescent="0.35">
      <c r="A82" s="4" t="s">
        <v>221</v>
      </c>
      <c r="B82" s="4">
        <v>2014</v>
      </c>
      <c r="C82" s="4" t="s">
        <v>9</v>
      </c>
      <c r="D82" s="9">
        <v>33</v>
      </c>
      <c r="E82" s="10" t="s">
        <v>238</v>
      </c>
      <c r="F82" s="4">
        <v>3</v>
      </c>
      <c r="G82" s="4" t="s">
        <v>239</v>
      </c>
      <c r="H82" s="4" t="s">
        <v>240</v>
      </c>
    </row>
    <row r="83" spans="1:8" ht="15.5" x14ac:dyDescent="0.35">
      <c r="A83" s="4" t="s">
        <v>221</v>
      </c>
      <c r="B83" s="4">
        <v>2015</v>
      </c>
      <c r="C83" s="4" t="s">
        <v>9</v>
      </c>
      <c r="D83" s="9">
        <v>49</v>
      </c>
      <c r="E83" s="10" t="s">
        <v>241</v>
      </c>
      <c r="F83" s="4">
        <v>24</v>
      </c>
      <c r="G83" s="4" t="s">
        <v>242</v>
      </c>
      <c r="H83" s="4" t="s">
        <v>243</v>
      </c>
    </row>
    <row r="84" spans="1:8" ht="15.5" x14ac:dyDescent="0.35">
      <c r="A84" s="4" t="s">
        <v>221</v>
      </c>
      <c r="B84" s="4">
        <v>2016</v>
      </c>
      <c r="C84" s="4" t="s">
        <v>9</v>
      </c>
      <c r="D84" s="9">
        <v>117</v>
      </c>
      <c r="E84" s="10" t="s">
        <v>33</v>
      </c>
      <c r="F84" s="4">
        <v>4</v>
      </c>
      <c r="G84" s="4" t="s">
        <v>244</v>
      </c>
      <c r="H84" s="4" t="s">
        <v>245</v>
      </c>
    </row>
    <row r="85" spans="1:8" ht="15.5" x14ac:dyDescent="0.35">
      <c r="A85" s="4" t="s">
        <v>221</v>
      </c>
      <c r="B85" s="4">
        <v>2017</v>
      </c>
      <c r="C85" s="4" t="s">
        <v>9</v>
      </c>
      <c r="D85" s="9">
        <v>120</v>
      </c>
      <c r="E85" s="10" t="s">
        <v>246</v>
      </c>
      <c r="F85" s="4">
        <v>12</v>
      </c>
      <c r="G85" s="4" t="s">
        <v>247</v>
      </c>
      <c r="H85" s="4" t="s">
        <v>248</v>
      </c>
    </row>
    <row r="86" spans="1:8" ht="15.5" x14ac:dyDescent="0.35">
      <c r="A86" s="4" t="s">
        <v>221</v>
      </c>
      <c r="B86" s="4">
        <v>2019</v>
      </c>
      <c r="C86" s="4" t="s">
        <v>9</v>
      </c>
      <c r="D86" s="9">
        <v>302</v>
      </c>
      <c r="E86" s="10" t="s">
        <v>249</v>
      </c>
      <c r="F86" s="4">
        <v>20</v>
      </c>
      <c r="G86" s="4" t="s">
        <v>250</v>
      </c>
      <c r="H86" s="4" t="s">
        <v>251</v>
      </c>
    </row>
    <row r="87" spans="1:8" ht="15.5" x14ac:dyDescent="0.35">
      <c r="A87" s="4" t="s">
        <v>221</v>
      </c>
      <c r="B87" s="4">
        <v>2021</v>
      </c>
      <c r="C87" s="4" t="s">
        <v>9</v>
      </c>
      <c r="D87" s="9">
        <v>65</v>
      </c>
      <c r="E87" s="10" t="s">
        <v>81</v>
      </c>
      <c r="F87" s="4">
        <v>21</v>
      </c>
      <c r="G87" s="4" t="s">
        <v>252</v>
      </c>
      <c r="H87" s="4" t="s">
        <v>253</v>
      </c>
    </row>
    <row r="88" spans="1:8" ht="15.5" x14ac:dyDescent="0.35">
      <c r="A88" s="4" t="s">
        <v>221</v>
      </c>
      <c r="B88" s="4">
        <v>2022</v>
      </c>
      <c r="C88" s="4" t="s">
        <v>9</v>
      </c>
      <c r="D88" s="9">
        <v>106</v>
      </c>
      <c r="E88" s="10" t="s">
        <v>21</v>
      </c>
      <c r="F88" s="4">
        <v>15</v>
      </c>
      <c r="G88" s="4" t="s">
        <v>254</v>
      </c>
      <c r="H88" s="4" t="s">
        <v>255</v>
      </c>
    </row>
    <row r="89" spans="1:8" ht="15.5" x14ac:dyDescent="0.35">
      <c r="A89" s="4" t="s">
        <v>256</v>
      </c>
      <c r="B89" s="4">
        <v>2007</v>
      </c>
      <c r="C89" s="4" t="s">
        <v>9</v>
      </c>
      <c r="D89" s="9">
        <v>145</v>
      </c>
      <c r="E89" s="10" t="s">
        <v>257</v>
      </c>
      <c r="F89" s="4">
        <v>3</v>
      </c>
      <c r="G89" s="4" t="s">
        <v>258</v>
      </c>
      <c r="H89" s="4" t="s">
        <v>259</v>
      </c>
    </row>
    <row r="90" spans="1:8" ht="15.5" x14ac:dyDescent="0.35">
      <c r="A90" s="4" t="s">
        <v>256</v>
      </c>
      <c r="B90" s="4">
        <v>2010</v>
      </c>
      <c r="C90" s="4" t="s">
        <v>9</v>
      </c>
      <c r="D90" s="9">
        <v>18</v>
      </c>
      <c r="E90" s="10" t="s">
        <v>260</v>
      </c>
      <c r="F90" s="4">
        <v>9</v>
      </c>
      <c r="G90" s="4" t="s">
        <v>261</v>
      </c>
      <c r="H90" s="4" t="s">
        <v>262</v>
      </c>
    </row>
    <row r="91" spans="1:8" ht="15.5" x14ac:dyDescent="0.35">
      <c r="A91" s="4" t="s">
        <v>256</v>
      </c>
      <c r="B91" s="4">
        <v>2013</v>
      </c>
      <c r="C91" s="4" t="s">
        <v>9</v>
      </c>
      <c r="D91" s="9">
        <v>48</v>
      </c>
      <c r="E91" s="10" t="s">
        <v>215</v>
      </c>
      <c r="F91" s="4">
        <v>8</v>
      </c>
      <c r="G91" s="4" t="s">
        <v>263</v>
      </c>
      <c r="H91" s="4" t="s">
        <v>264</v>
      </c>
    </row>
    <row r="92" spans="1:8" ht="15.5" x14ac:dyDescent="0.35">
      <c r="A92" s="4" t="s">
        <v>256</v>
      </c>
      <c r="B92" s="4">
        <v>2014</v>
      </c>
      <c r="C92" s="4" t="s">
        <v>9</v>
      </c>
      <c r="D92" s="9">
        <v>43</v>
      </c>
      <c r="E92" s="10" t="s">
        <v>215</v>
      </c>
      <c r="F92" s="4">
        <v>2</v>
      </c>
      <c r="G92" s="4" t="s">
        <v>265</v>
      </c>
      <c r="H92" s="4" t="s">
        <v>266</v>
      </c>
    </row>
    <row r="93" spans="1:8" ht="15.5" x14ac:dyDescent="0.35">
      <c r="A93" s="4" t="s">
        <v>256</v>
      </c>
      <c r="B93" s="4">
        <v>2017</v>
      </c>
      <c r="C93" s="4" t="s">
        <v>9</v>
      </c>
      <c r="D93" s="9">
        <v>83</v>
      </c>
      <c r="E93" s="10" t="s">
        <v>33</v>
      </c>
      <c r="F93" s="4">
        <v>3</v>
      </c>
      <c r="G93" s="4" t="s">
        <v>267</v>
      </c>
      <c r="H93" s="4" t="s">
        <v>268</v>
      </c>
    </row>
    <row r="94" spans="1:8" ht="15.5" x14ac:dyDescent="0.35">
      <c r="A94" s="4" t="s">
        <v>256</v>
      </c>
      <c r="B94" s="4">
        <v>2019</v>
      </c>
      <c r="C94" s="4" t="s">
        <v>9</v>
      </c>
      <c r="D94" s="9">
        <v>31</v>
      </c>
      <c r="E94" s="10" t="s">
        <v>269</v>
      </c>
      <c r="F94" s="4">
        <v>19</v>
      </c>
      <c r="G94" s="4" t="s">
        <v>270</v>
      </c>
      <c r="H94" s="4" t="s">
        <v>271</v>
      </c>
    </row>
    <row r="95" spans="1:8" ht="15.5" x14ac:dyDescent="0.35">
      <c r="A95" s="4" t="s">
        <v>272</v>
      </c>
      <c r="B95" s="4">
        <v>1957</v>
      </c>
      <c r="C95" s="4"/>
      <c r="D95" s="9">
        <v>5</v>
      </c>
      <c r="E95" s="10" t="s">
        <v>273</v>
      </c>
      <c r="F95" s="4">
        <v>1</v>
      </c>
      <c r="G95" s="4" t="s">
        <v>274</v>
      </c>
      <c r="H95" s="4" t="s">
        <v>275</v>
      </c>
    </row>
    <row r="96" spans="1:8" ht="15.5" x14ac:dyDescent="0.35">
      <c r="A96" s="4" t="s">
        <v>272</v>
      </c>
      <c r="B96" s="4">
        <v>1958</v>
      </c>
      <c r="C96" s="4"/>
      <c r="D96" s="9">
        <v>8</v>
      </c>
      <c r="E96" s="10" t="s">
        <v>93</v>
      </c>
      <c r="F96" s="4">
        <v>7</v>
      </c>
      <c r="G96" s="4" t="s">
        <v>276</v>
      </c>
      <c r="H96" s="4" t="s">
        <v>277</v>
      </c>
    </row>
    <row r="97" spans="1:8" ht="15.5" x14ac:dyDescent="0.35">
      <c r="A97" s="4" t="s">
        <v>272</v>
      </c>
      <c r="B97" s="4">
        <v>1959</v>
      </c>
      <c r="C97" s="4"/>
      <c r="D97" s="9">
        <v>9</v>
      </c>
      <c r="E97" s="10" t="s">
        <v>278</v>
      </c>
      <c r="F97" s="4">
        <v>11</v>
      </c>
      <c r="G97" s="4" t="s">
        <v>279</v>
      </c>
      <c r="H97" s="4" t="s">
        <v>280</v>
      </c>
    </row>
    <row r="98" spans="1:8" ht="15.5" x14ac:dyDescent="0.35">
      <c r="A98" s="4" t="s">
        <v>272</v>
      </c>
      <c r="B98" s="4">
        <v>1960</v>
      </c>
      <c r="C98" s="4"/>
      <c r="D98" s="9">
        <v>9</v>
      </c>
      <c r="E98" s="10" t="s">
        <v>281</v>
      </c>
      <c r="F98" s="4">
        <v>5</v>
      </c>
      <c r="G98" s="4" t="s">
        <v>276</v>
      </c>
      <c r="H98" s="4" t="s">
        <v>282</v>
      </c>
    </row>
    <row r="99" spans="1:8" ht="15.5" x14ac:dyDescent="0.35">
      <c r="A99" s="4" t="s">
        <v>272</v>
      </c>
      <c r="B99" s="4">
        <v>1961</v>
      </c>
      <c r="C99" s="4"/>
      <c r="D99" s="9">
        <v>1</v>
      </c>
      <c r="E99" s="10" t="s">
        <v>102</v>
      </c>
      <c r="F99" s="4">
        <v>11</v>
      </c>
      <c r="G99" s="4" t="s">
        <v>279</v>
      </c>
      <c r="H99" s="4" t="s">
        <v>283</v>
      </c>
    </row>
    <row r="100" spans="1:8" ht="15.5" x14ac:dyDescent="0.35">
      <c r="A100" s="4" t="s">
        <v>272</v>
      </c>
      <c r="B100" s="4">
        <v>1962</v>
      </c>
      <c r="C100" s="4"/>
      <c r="D100" s="9">
        <v>0</v>
      </c>
      <c r="E100" s="10" t="s">
        <v>105</v>
      </c>
      <c r="F100" s="4">
        <v>2</v>
      </c>
      <c r="G100" s="4" t="s">
        <v>276</v>
      </c>
      <c r="H100" s="4" t="s">
        <v>284</v>
      </c>
    </row>
    <row r="101" spans="1:8" ht="15.5" x14ac:dyDescent="0.35">
      <c r="A101" s="4" t="s">
        <v>272</v>
      </c>
      <c r="B101" s="4">
        <v>1963</v>
      </c>
      <c r="C101" s="4"/>
      <c r="D101" s="9">
        <v>4</v>
      </c>
      <c r="E101" s="10" t="s">
        <v>285</v>
      </c>
      <c r="F101" s="4">
        <v>14</v>
      </c>
      <c r="G101" s="4" t="s">
        <v>286</v>
      </c>
      <c r="H101" s="4" t="s">
        <v>287</v>
      </c>
    </row>
    <row r="102" spans="1:8" ht="15.5" x14ac:dyDescent="0.35">
      <c r="A102" s="4" t="s">
        <v>272</v>
      </c>
      <c r="B102" s="4">
        <v>1964</v>
      </c>
      <c r="C102" s="4"/>
      <c r="D102" s="9">
        <v>2</v>
      </c>
      <c r="E102" s="10" t="s">
        <v>285</v>
      </c>
      <c r="F102" s="4">
        <v>15</v>
      </c>
      <c r="G102" s="4" t="s">
        <v>288</v>
      </c>
      <c r="H102" s="4" t="s">
        <v>289</v>
      </c>
    </row>
    <row r="103" spans="1:8" ht="15.5" x14ac:dyDescent="0.35">
      <c r="A103" s="4" t="s">
        <v>272</v>
      </c>
      <c r="B103" s="4">
        <v>1965</v>
      </c>
      <c r="C103" s="4"/>
      <c r="D103" s="9">
        <v>0</v>
      </c>
      <c r="E103" s="10" t="s">
        <v>290</v>
      </c>
      <c r="F103" s="4">
        <v>8</v>
      </c>
      <c r="G103" s="4" t="s">
        <v>291</v>
      </c>
      <c r="H103" s="4" t="s">
        <v>292</v>
      </c>
    </row>
    <row r="104" spans="1:8" ht="15.5" x14ac:dyDescent="0.35">
      <c r="A104" s="4" t="s">
        <v>272</v>
      </c>
      <c r="B104" s="4">
        <v>1966</v>
      </c>
      <c r="C104" s="4"/>
      <c r="D104" s="9">
        <v>14</v>
      </c>
      <c r="E104" s="10" t="s">
        <v>114</v>
      </c>
      <c r="F104" s="4">
        <v>3</v>
      </c>
      <c r="G104" s="4" t="s">
        <v>293</v>
      </c>
      <c r="H104" s="4" t="s">
        <v>294</v>
      </c>
    </row>
    <row r="105" spans="1:8" ht="15.5" x14ac:dyDescent="0.35">
      <c r="A105" s="4" t="s">
        <v>272</v>
      </c>
      <c r="B105" s="4">
        <v>1967</v>
      </c>
      <c r="C105" s="4"/>
      <c r="D105" s="9">
        <v>8</v>
      </c>
      <c r="E105" s="10" t="s">
        <v>295</v>
      </c>
      <c r="F105" s="4">
        <v>10</v>
      </c>
      <c r="G105" s="4" t="s">
        <v>296</v>
      </c>
      <c r="H105" s="4" t="s">
        <v>297</v>
      </c>
    </row>
    <row r="106" spans="1:8" ht="15.5" x14ac:dyDescent="0.35">
      <c r="A106" s="4" t="s">
        <v>272</v>
      </c>
      <c r="B106" s="4">
        <v>1968</v>
      </c>
      <c r="C106" s="4"/>
      <c r="D106" s="9">
        <v>8</v>
      </c>
      <c r="E106" s="10" t="s">
        <v>295</v>
      </c>
      <c r="F106" s="4">
        <v>3</v>
      </c>
      <c r="G106" s="4" t="s">
        <v>298</v>
      </c>
      <c r="H106" s="4" t="s">
        <v>299</v>
      </c>
    </row>
    <row r="107" spans="1:8" ht="15.5" x14ac:dyDescent="0.35">
      <c r="A107" s="4" t="s">
        <v>272</v>
      </c>
      <c r="B107" s="4">
        <v>1969</v>
      </c>
      <c r="C107" s="4"/>
      <c r="D107" s="9">
        <v>10</v>
      </c>
      <c r="E107" s="10" t="s">
        <v>108</v>
      </c>
      <c r="F107" s="4">
        <v>10</v>
      </c>
      <c r="G107" s="4" t="s">
        <v>296</v>
      </c>
      <c r="H107" s="4" t="s">
        <v>300</v>
      </c>
    </row>
    <row r="108" spans="1:8" ht="15.5" x14ac:dyDescent="0.35">
      <c r="A108" s="4" t="s">
        <v>272</v>
      </c>
      <c r="B108" s="4">
        <v>1970</v>
      </c>
      <c r="C108" s="4"/>
      <c r="D108" s="9">
        <v>5</v>
      </c>
      <c r="E108" s="10" t="s">
        <v>301</v>
      </c>
      <c r="F108" s="4">
        <v>5</v>
      </c>
      <c r="G108" s="4" t="s">
        <v>302</v>
      </c>
      <c r="H108" s="4" t="s">
        <v>303</v>
      </c>
    </row>
    <row r="109" spans="1:8" ht="15.5" x14ac:dyDescent="0.35">
      <c r="A109" s="4" t="s">
        <v>272</v>
      </c>
      <c r="B109" s="4">
        <v>1971</v>
      </c>
      <c r="C109" s="4"/>
      <c r="D109" s="9">
        <v>68</v>
      </c>
      <c r="E109" s="10" t="s">
        <v>304</v>
      </c>
      <c r="F109" s="4">
        <v>10</v>
      </c>
      <c r="G109" s="4" t="s">
        <v>305</v>
      </c>
      <c r="H109" s="4" t="s">
        <v>306</v>
      </c>
    </row>
    <row r="110" spans="1:8" ht="15.5" x14ac:dyDescent="0.35">
      <c r="A110" s="4" t="s">
        <v>272</v>
      </c>
      <c r="B110" s="4">
        <v>1972</v>
      </c>
      <c r="C110" s="4"/>
      <c r="D110" s="9">
        <v>55</v>
      </c>
      <c r="E110" s="10" t="s">
        <v>132</v>
      </c>
      <c r="F110" s="4">
        <v>16</v>
      </c>
      <c r="G110" s="4" t="s">
        <v>307</v>
      </c>
      <c r="H110" s="4" t="s">
        <v>308</v>
      </c>
    </row>
    <row r="111" spans="1:8" ht="15.5" x14ac:dyDescent="0.35">
      <c r="A111" s="4" t="s">
        <v>272</v>
      </c>
      <c r="B111" s="4">
        <v>1973</v>
      </c>
      <c r="C111" s="4"/>
      <c r="D111" s="9">
        <v>58</v>
      </c>
      <c r="E111" s="10" t="s">
        <v>309</v>
      </c>
      <c r="F111" s="4">
        <v>2</v>
      </c>
      <c r="G111" s="4" t="s">
        <v>310</v>
      </c>
      <c r="H111" s="4" t="s">
        <v>311</v>
      </c>
    </row>
    <row r="112" spans="1:8" ht="15.5" x14ac:dyDescent="0.35">
      <c r="A112" s="4" t="s">
        <v>272</v>
      </c>
      <c r="B112" s="4">
        <v>1974</v>
      </c>
      <c r="C112" s="4"/>
      <c r="D112" s="9">
        <v>10</v>
      </c>
      <c r="E112" s="10" t="s">
        <v>312</v>
      </c>
      <c r="F112" s="4">
        <v>11</v>
      </c>
      <c r="G112" s="4" t="s">
        <v>313</v>
      </c>
      <c r="H112" s="4" t="s">
        <v>314</v>
      </c>
    </row>
    <row r="113" spans="1:8" ht="15.5" x14ac:dyDescent="0.35">
      <c r="A113" s="4" t="s">
        <v>272</v>
      </c>
      <c r="B113" s="4">
        <v>1975</v>
      </c>
      <c r="C113" s="4"/>
      <c r="D113" s="9">
        <v>17</v>
      </c>
      <c r="E113" s="10" t="s">
        <v>315</v>
      </c>
      <c r="F113" s="4">
        <v>11</v>
      </c>
      <c r="G113" s="4" t="s">
        <v>316</v>
      </c>
      <c r="H113" s="4" t="s">
        <v>317</v>
      </c>
    </row>
    <row r="114" spans="1:8" ht="15.5" x14ac:dyDescent="0.35">
      <c r="A114" s="4" t="s">
        <v>272</v>
      </c>
      <c r="B114" s="4">
        <v>1976</v>
      </c>
      <c r="C114" s="4"/>
      <c r="D114" s="9">
        <v>68</v>
      </c>
      <c r="E114" s="10" t="s">
        <v>318</v>
      </c>
      <c r="F114" s="4">
        <v>6</v>
      </c>
      <c r="G114" s="4" t="s">
        <v>319</v>
      </c>
      <c r="H114" s="4" t="s">
        <v>320</v>
      </c>
    </row>
    <row r="115" spans="1:8" ht="15.5" x14ac:dyDescent="0.35">
      <c r="A115" s="4" t="s">
        <v>272</v>
      </c>
      <c r="B115" s="4">
        <v>1977</v>
      </c>
      <c r="C115" s="4"/>
      <c r="D115" s="9">
        <v>69</v>
      </c>
      <c r="E115" s="10" t="s">
        <v>321</v>
      </c>
      <c r="F115" s="4">
        <v>17</v>
      </c>
      <c r="G115" s="4" t="s">
        <v>322</v>
      </c>
      <c r="H115" s="4" t="s">
        <v>323</v>
      </c>
    </row>
    <row r="116" spans="1:8" ht="15.5" x14ac:dyDescent="0.35">
      <c r="A116" s="4" t="s">
        <v>272</v>
      </c>
      <c r="B116" s="4">
        <v>1978</v>
      </c>
      <c r="C116" s="4"/>
      <c r="D116" s="9">
        <v>125</v>
      </c>
      <c r="E116" s="10" t="s">
        <v>324</v>
      </c>
      <c r="F116" s="4">
        <v>10</v>
      </c>
      <c r="G116" s="4" t="s">
        <v>302</v>
      </c>
      <c r="H116" s="4" t="s">
        <v>325</v>
      </c>
    </row>
    <row r="117" spans="1:8" ht="15.5" x14ac:dyDescent="0.35">
      <c r="A117" s="4" t="s">
        <v>272</v>
      </c>
      <c r="B117" s="4">
        <v>1979</v>
      </c>
      <c r="C117" s="4"/>
      <c r="D117" s="9">
        <v>5</v>
      </c>
      <c r="E117" s="10" t="s">
        <v>138</v>
      </c>
      <c r="F117" s="4">
        <v>12</v>
      </c>
      <c r="G117" s="4" t="s">
        <v>326</v>
      </c>
      <c r="H117" s="4" t="s">
        <v>327</v>
      </c>
    </row>
    <row r="118" spans="1:8" ht="15.5" x14ac:dyDescent="0.35">
      <c r="A118" s="4" t="s">
        <v>272</v>
      </c>
      <c r="B118" s="4">
        <v>1980</v>
      </c>
      <c r="C118" s="4"/>
      <c r="D118" s="9">
        <v>14</v>
      </c>
      <c r="E118" s="10" t="s">
        <v>328</v>
      </c>
      <c r="F118" s="4">
        <v>19</v>
      </c>
      <c r="G118" s="4" t="s">
        <v>329</v>
      </c>
      <c r="H118" s="4" t="s">
        <v>330</v>
      </c>
    </row>
    <row r="119" spans="1:8" ht="15.5" x14ac:dyDescent="0.35">
      <c r="A119" s="4" t="s">
        <v>272</v>
      </c>
      <c r="B119" s="4">
        <v>1981</v>
      </c>
      <c r="C119" s="4"/>
      <c r="D119" s="9">
        <v>40</v>
      </c>
      <c r="E119" s="10" t="s">
        <v>331</v>
      </c>
      <c r="F119" s="4">
        <v>16</v>
      </c>
      <c r="G119" s="4" t="s">
        <v>332</v>
      </c>
      <c r="H119" s="4" t="s">
        <v>333</v>
      </c>
    </row>
    <row r="120" spans="1:8" ht="15.5" x14ac:dyDescent="0.35">
      <c r="A120" s="4" t="s">
        <v>272</v>
      </c>
      <c r="B120" s="4">
        <v>1982</v>
      </c>
      <c r="C120" s="4"/>
      <c r="D120" s="9">
        <v>96</v>
      </c>
      <c r="E120" s="10" t="s">
        <v>114</v>
      </c>
      <c r="F120" s="4">
        <v>11</v>
      </c>
      <c r="G120" s="4" t="s">
        <v>334</v>
      </c>
      <c r="H120" s="4" t="s">
        <v>335</v>
      </c>
    </row>
    <row r="121" spans="1:8" ht="15.5" x14ac:dyDescent="0.35">
      <c r="A121" s="4" t="s">
        <v>272</v>
      </c>
      <c r="B121" s="4">
        <v>1983</v>
      </c>
      <c r="C121" s="4"/>
      <c r="D121" s="9">
        <v>13</v>
      </c>
      <c r="E121" s="10" t="s">
        <v>158</v>
      </c>
      <c r="F121" s="4">
        <v>19</v>
      </c>
      <c r="G121" s="4" t="s">
        <v>336</v>
      </c>
      <c r="H121" s="4" t="s">
        <v>337</v>
      </c>
    </row>
    <row r="122" spans="1:8" ht="15.5" x14ac:dyDescent="0.35">
      <c r="A122" s="4" t="s">
        <v>272</v>
      </c>
      <c r="B122" s="4">
        <v>1984</v>
      </c>
      <c r="C122" s="4"/>
      <c r="D122" s="9">
        <v>70</v>
      </c>
      <c r="E122" s="10" t="s">
        <v>338</v>
      </c>
      <c r="F122" s="4">
        <v>8</v>
      </c>
      <c r="G122" s="4" t="s">
        <v>339</v>
      </c>
      <c r="H122" s="4" t="s">
        <v>340</v>
      </c>
    </row>
    <row r="123" spans="1:8" ht="15.5" x14ac:dyDescent="0.35">
      <c r="A123" s="4" t="s">
        <v>272</v>
      </c>
      <c r="B123" s="4">
        <v>1985</v>
      </c>
      <c r="C123" s="4"/>
      <c r="D123" s="9">
        <v>7</v>
      </c>
      <c r="E123" s="10" t="s">
        <v>153</v>
      </c>
      <c r="F123" s="4">
        <v>8</v>
      </c>
      <c r="G123" s="4" t="s">
        <v>341</v>
      </c>
      <c r="H123" s="4" t="s">
        <v>342</v>
      </c>
    </row>
    <row r="124" spans="1:8" ht="15.5" x14ac:dyDescent="0.35">
      <c r="A124" s="4" t="s">
        <v>272</v>
      </c>
      <c r="B124" s="4">
        <v>1986</v>
      </c>
      <c r="C124" s="4"/>
      <c r="D124" s="9">
        <v>176</v>
      </c>
      <c r="E124" s="10" t="s">
        <v>343</v>
      </c>
      <c r="F124" s="4">
        <v>13</v>
      </c>
      <c r="G124" s="4" t="s">
        <v>344</v>
      </c>
      <c r="H124" s="4" t="s">
        <v>345</v>
      </c>
    </row>
    <row r="125" spans="1:8" ht="15.5" x14ac:dyDescent="0.35">
      <c r="A125" s="4" t="s">
        <v>272</v>
      </c>
      <c r="B125" s="4">
        <v>1987</v>
      </c>
      <c r="C125" s="4"/>
      <c r="D125" s="9">
        <v>56</v>
      </c>
      <c r="E125" s="10" t="s">
        <v>346</v>
      </c>
      <c r="F125" s="4">
        <v>5</v>
      </c>
      <c r="G125" s="4" t="s">
        <v>347</v>
      </c>
      <c r="H125" s="4" t="s">
        <v>348</v>
      </c>
    </row>
    <row r="126" spans="1:8" ht="15.5" x14ac:dyDescent="0.35">
      <c r="A126" s="4" t="s">
        <v>272</v>
      </c>
      <c r="B126" s="4">
        <v>1988</v>
      </c>
      <c r="C126" s="4"/>
      <c r="D126" s="9">
        <v>5</v>
      </c>
      <c r="E126" s="10" t="s">
        <v>349</v>
      </c>
      <c r="F126" s="4">
        <v>16</v>
      </c>
      <c r="G126" s="4" t="s">
        <v>350</v>
      </c>
      <c r="H126" s="4" t="s">
        <v>351</v>
      </c>
    </row>
    <row r="127" spans="1:8" ht="15.5" x14ac:dyDescent="0.35">
      <c r="A127" s="4" t="s">
        <v>272</v>
      </c>
      <c r="B127" s="4">
        <v>1989</v>
      </c>
      <c r="C127" s="4"/>
      <c r="D127" s="9">
        <v>13</v>
      </c>
      <c r="E127" s="10" t="s">
        <v>352</v>
      </c>
      <c r="F127" s="4">
        <v>6</v>
      </c>
      <c r="G127" s="4" t="s">
        <v>353</v>
      </c>
      <c r="H127" s="4" t="s">
        <v>354</v>
      </c>
    </row>
    <row r="128" spans="1:8" ht="15.5" x14ac:dyDescent="0.35">
      <c r="A128" s="4" t="s">
        <v>272</v>
      </c>
      <c r="B128" s="4">
        <v>1990</v>
      </c>
      <c r="C128" s="4"/>
      <c r="D128" s="9">
        <v>46</v>
      </c>
      <c r="E128" s="10" t="s">
        <v>355</v>
      </c>
      <c r="F128" s="4">
        <v>3</v>
      </c>
      <c r="G128" s="4" t="s">
        <v>356</v>
      </c>
      <c r="H128" s="4" t="s">
        <v>357</v>
      </c>
    </row>
    <row r="129" spans="1:8" ht="15.5" x14ac:dyDescent="0.35">
      <c r="A129" s="4" t="s">
        <v>272</v>
      </c>
      <c r="B129" s="4">
        <v>1991</v>
      </c>
      <c r="C129" s="4"/>
      <c r="D129" s="9">
        <v>23</v>
      </c>
      <c r="E129" s="10" t="s">
        <v>358</v>
      </c>
      <c r="F129" s="4">
        <v>18</v>
      </c>
      <c r="G129" s="4" t="s">
        <v>359</v>
      </c>
      <c r="H129" s="4" t="s">
        <v>360</v>
      </c>
    </row>
    <row r="130" spans="1:8" ht="15.5" x14ac:dyDescent="0.35">
      <c r="A130" s="4" t="s">
        <v>272</v>
      </c>
      <c r="B130" s="4">
        <v>1992</v>
      </c>
      <c r="C130" s="4"/>
      <c r="D130" s="9">
        <v>11</v>
      </c>
      <c r="E130" s="10" t="s">
        <v>361</v>
      </c>
      <c r="F130" s="4">
        <v>2</v>
      </c>
      <c r="G130" s="4" t="s">
        <v>362</v>
      </c>
      <c r="H130" s="4" t="s">
        <v>363</v>
      </c>
    </row>
    <row r="131" spans="1:8" ht="15.5" x14ac:dyDescent="0.35">
      <c r="A131" s="4" t="s">
        <v>272</v>
      </c>
      <c r="B131" s="4">
        <v>1993</v>
      </c>
      <c r="C131" s="4"/>
      <c r="D131" s="9">
        <v>3</v>
      </c>
      <c r="E131" s="10" t="s">
        <v>364</v>
      </c>
      <c r="F131" s="4">
        <v>7</v>
      </c>
      <c r="G131" s="4" t="s">
        <v>365</v>
      </c>
      <c r="H131" s="4" t="s">
        <v>366</v>
      </c>
    </row>
    <row r="132" spans="1:8" ht="15.5" x14ac:dyDescent="0.35">
      <c r="A132" s="4" t="s">
        <v>272</v>
      </c>
      <c r="B132" s="4">
        <v>1995</v>
      </c>
      <c r="C132" s="4"/>
      <c r="D132" s="9">
        <v>8</v>
      </c>
      <c r="E132" s="10" t="s">
        <v>361</v>
      </c>
      <c r="F132" s="4">
        <v>14</v>
      </c>
      <c r="G132" s="4" t="s">
        <v>367</v>
      </c>
      <c r="H132" s="4" t="s">
        <v>368</v>
      </c>
    </row>
    <row r="133" spans="1:8" ht="15.5" x14ac:dyDescent="0.35">
      <c r="A133" s="4" t="s">
        <v>272</v>
      </c>
      <c r="B133" s="4">
        <v>1996</v>
      </c>
      <c r="C133" s="4"/>
      <c r="D133" s="9">
        <v>22</v>
      </c>
      <c r="E133" s="10" t="s">
        <v>369</v>
      </c>
      <c r="F133" s="4">
        <v>16</v>
      </c>
      <c r="G133" s="4" t="s">
        <v>370</v>
      </c>
      <c r="H133" s="4" t="s">
        <v>371</v>
      </c>
    </row>
    <row r="134" spans="1:8" ht="15.5" x14ac:dyDescent="0.35">
      <c r="A134" s="4" t="s">
        <v>272</v>
      </c>
      <c r="B134" s="4">
        <v>1998</v>
      </c>
      <c r="C134" s="4"/>
      <c r="D134" s="9">
        <v>122</v>
      </c>
      <c r="E134" s="10" t="s">
        <v>372</v>
      </c>
      <c r="F134" s="4">
        <v>20</v>
      </c>
      <c r="G134" s="4" t="s">
        <v>373</v>
      </c>
      <c r="H134" s="4" t="s">
        <v>374</v>
      </c>
    </row>
    <row r="135" spans="1:8" ht="15.5" x14ac:dyDescent="0.35">
      <c r="A135" s="4" t="s">
        <v>272</v>
      </c>
      <c r="B135" s="4">
        <v>1999</v>
      </c>
      <c r="C135" s="4"/>
      <c r="D135" s="9">
        <v>38</v>
      </c>
      <c r="E135" s="10" t="s">
        <v>375</v>
      </c>
      <c r="F135" s="4">
        <v>2</v>
      </c>
      <c r="G135" s="4" t="s">
        <v>376</v>
      </c>
      <c r="H135" s="4" t="s">
        <v>377</v>
      </c>
    </row>
    <row r="136" spans="1:8" ht="15.5" x14ac:dyDescent="0.35">
      <c r="A136" s="4" t="s">
        <v>272</v>
      </c>
      <c r="B136" s="4">
        <v>2000</v>
      </c>
      <c r="C136" s="4"/>
      <c r="D136" s="9">
        <v>2</v>
      </c>
      <c r="E136" s="10" t="s">
        <v>378</v>
      </c>
      <c r="F136" s="4">
        <v>10</v>
      </c>
      <c r="G136" s="4" t="s">
        <v>379</v>
      </c>
      <c r="H136" s="4" t="s">
        <v>380</v>
      </c>
    </row>
    <row r="137" spans="1:8" ht="15.5" x14ac:dyDescent="0.35">
      <c r="A137" s="4" t="s">
        <v>272</v>
      </c>
      <c r="B137" s="4">
        <v>2002</v>
      </c>
      <c r="C137" s="4"/>
      <c r="D137" s="9">
        <v>33</v>
      </c>
      <c r="E137" s="10" t="s">
        <v>381</v>
      </c>
      <c r="F137" s="4">
        <v>16</v>
      </c>
      <c r="G137" s="4" t="s">
        <v>382</v>
      </c>
      <c r="H137" s="4" t="s">
        <v>383</v>
      </c>
    </row>
    <row r="138" spans="1:8" ht="15.5" x14ac:dyDescent="0.35">
      <c r="A138" s="4" t="s">
        <v>272</v>
      </c>
      <c r="B138" s="4">
        <v>2003</v>
      </c>
      <c r="C138" s="4"/>
      <c r="D138" s="9">
        <v>165</v>
      </c>
      <c r="E138" s="10" t="s">
        <v>75</v>
      </c>
      <c r="F138" s="4">
        <v>22</v>
      </c>
      <c r="G138" s="4" t="s">
        <v>384</v>
      </c>
      <c r="H138" s="4" t="s">
        <v>385</v>
      </c>
    </row>
    <row r="139" spans="1:8" ht="15.5" x14ac:dyDescent="0.35">
      <c r="A139" s="4" t="s">
        <v>272</v>
      </c>
      <c r="B139" s="4">
        <v>2004</v>
      </c>
      <c r="C139" s="4" t="s">
        <v>9</v>
      </c>
      <c r="D139" s="9">
        <v>7</v>
      </c>
      <c r="E139" s="10" t="s">
        <v>386</v>
      </c>
      <c r="F139" s="4">
        <v>13</v>
      </c>
      <c r="G139" s="4" t="s">
        <v>387</v>
      </c>
      <c r="H139" s="4" t="s">
        <v>388</v>
      </c>
    </row>
    <row r="140" spans="1:8" ht="15.5" x14ac:dyDescent="0.35">
      <c r="A140" s="4" t="s">
        <v>272</v>
      </c>
      <c r="B140" s="4">
        <v>2010</v>
      </c>
      <c r="C140" s="4" t="s">
        <v>9</v>
      </c>
      <c r="D140" s="9">
        <v>143</v>
      </c>
      <c r="E140" s="10" t="s">
        <v>372</v>
      </c>
      <c r="F140" s="4">
        <v>7</v>
      </c>
      <c r="G140" s="4" t="s">
        <v>389</v>
      </c>
      <c r="H140" s="4" t="s">
        <v>390</v>
      </c>
    </row>
    <row r="141" spans="1:8" ht="15.5" x14ac:dyDescent="0.35">
      <c r="A141" s="4" t="s">
        <v>272</v>
      </c>
      <c r="B141" s="4">
        <v>2013</v>
      </c>
      <c r="C141" s="4" t="s">
        <v>9</v>
      </c>
      <c r="D141" s="9">
        <v>71</v>
      </c>
      <c r="E141" s="10" t="s">
        <v>391</v>
      </c>
      <c r="F141" s="4">
        <v>6</v>
      </c>
      <c r="G141" s="4" t="s">
        <v>392</v>
      </c>
      <c r="H141" s="4" t="s">
        <v>393</v>
      </c>
    </row>
    <row r="142" spans="1:8" ht="15.5" x14ac:dyDescent="0.35">
      <c r="A142" s="4" t="s">
        <v>272</v>
      </c>
      <c r="B142" s="4">
        <v>2015</v>
      </c>
      <c r="C142" s="4" t="s">
        <v>9</v>
      </c>
      <c r="D142" s="9">
        <v>217</v>
      </c>
      <c r="E142" s="10" t="s">
        <v>394</v>
      </c>
      <c r="F142" s="4">
        <v>13</v>
      </c>
      <c r="G142" s="4" t="s">
        <v>395</v>
      </c>
      <c r="H142" s="4" t="s">
        <v>396</v>
      </c>
    </row>
    <row r="143" spans="1:8" ht="15.5" x14ac:dyDescent="0.35">
      <c r="A143" s="4" t="s">
        <v>272</v>
      </c>
      <c r="B143" s="4">
        <v>2016</v>
      </c>
      <c r="C143" s="4" t="s">
        <v>9</v>
      </c>
      <c r="D143" s="9">
        <v>181</v>
      </c>
      <c r="E143" s="10" t="s">
        <v>397</v>
      </c>
      <c r="F143" s="4">
        <v>1</v>
      </c>
      <c r="G143" s="4" t="s">
        <v>398</v>
      </c>
      <c r="H143" s="4" t="s">
        <v>399</v>
      </c>
    </row>
    <row r="144" spans="1:8" ht="15.5" x14ac:dyDescent="0.35">
      <c r="A144" s="4" t="s">
        <v>272</v>
      </c>
      <c r="B144" s="4">
        <v>2017</v>
      </c>
      <c r="C144" s="4" t="s">
        <v>9</v>
      </c>
      <c r="D144" s="9">
        <v>363</v>
      </c>
      <c r="E144" s="10" t="s">
        <v>57</v>
      </c>
      <c r="F144" s="4">
        <v>23</v>
      </c>
      <c r="G144" s="4" t="s">
        <v>400</v>
      </c>
      <c r="H144" s="4" t="s">
        <v>401</v>
      </c>
    </row>
    <row r="145" spans="1:8" ht="15.5" x14ac:dyDescent="0.35">
      <c r="A145" s="4" t="s">
        <v>272</v>
      </c>
      <c r="B145" s="4">
        <v>2021</v>
      </c>
      <c r="C145" s="4" t="s">
        <v>9</v>
      </c>
      <c r="D145" s="9">
        <v>74</v>
      </c>
      <c r="E145" s="10" t="s">
        <v>402</v>
      </c>
      <c r="F145" s="4">
        <v>4</v>
      </c>
      <c r="G145" s="4" t="s">
        <v>403</v>
      </c>
      <c r="H145" s="4" t="s">
        <v>404</v>
      </c>
    </row>
    <row r="146" spans="1:8" ht="15.5" x14ac:dyDescent="0.35">
      <c r="A146" s="4" t="s">
        <v>272</v>
      </c>
      <c r="B146" s="4">
        <v>2022</v>
      </c>
      <c r="C146" s="4" t="s">
        <v>9</v>
      </c>
      <c r="D146" s="9">
        <v>64</v>
      </c>
      <c r="E146" s="10" t="s">
        <v>405</v>
      </c>
      <c r="F146" s="4">
        <v>16</v>
      </c>
      <c r="G146" s="4" t="s">
        <v>406</v>
      </c>
      <c r="H146" s="4" t="s">
        <v>407</v>
      </c>
    </row>
    <row r="147" spans="1:8" ht="15.5" x14ac:dyDescent="0.35">
      <c r="A147" s="4" t="s">
        <v>408</v>
      </c>
      <c r="B147" s="4">
        <v>1993</v>
      </c>
      <c r="C147" s="4"/>
      <c r="D147" s="9">
        <v>27</v>
      </c>
      <c r="E147" s="10" t="s">
        <v>21</v>
      </c>
      <c r="F147" s="4">
        <v>18</v>
      </c>
      <c r="G147" s="4" t="s">
        <v>409</v>
      </c>
      <c r="H147" s="4" t="s">
        <v>410</v>
      </c>
    </row>
    <row r="148" spans="1:8" ht="15.5" x14ac:dyDescent="0.35">
      <c r="A148" s="4" t="s">
        <v>408</v>
      </c>
      <c r="B148" s="4">
        <v>1994</v>
      </c>
      <c r="C148" s="4"/>
      <c r="D148" s="9">
        <v>39</v>
      </c>
      <c r="E148" s="10" t="s">
        <v>86</v>
      </c>
      <c r="F148" s="4">
        <v>18</v>
      </c>
      <c r="G148" s="4" t="s">
        <v>411</v>
      </c>
      <c r="H148" s="4" t="s">
        <v>412</v>
      </c>
    </row>
    <row r="149" spans="1:8" ht="15.5" x14ac:dyDescent="0.35">
      <c r="A149" s="4" t="s">
        <v>408</v>
      </c>
      <c r="B149" s="4">
        <v>1995</v>
      </c>
      <c r="C149" s="4"/>
      <c r="D149" s="9">
        <v>14</v>
      </c>
      <c r="E149" s="10" t="s">
        <v>413</v>
      </c>
      <c r="F149" s="4">
        <v>4</v>
      </c>
      <c r="G149" s="4" t="s">
        <v>414</v>
      </c>
      <c r="H149" s="4" t="s">
        <v>415</v>
      </c>
    </row>
    <row r="150" spans="1:8" ht="15.5" x14ac:dyDescent="0.35">
      <c r="A150" s="4" t="s">
        <v>408</v>
      </c>
      <c r="B150" s="4">
        <v>1996</v>
      </c>
      <c r="C150" s="4"/>
      <c r="D150" s="9">
        <v>13</v>
      </c>
      <c r="E150" s="10" t="s">
        <v>416</v>
      </c>
      <c r="F150" s="4">
        <v>21</v>
      </c>
      <c r="G150" s="4" t="s">
        <v>417</v>
      </c>
      <c r="H150" s="4" t="s">
        <v>418</v>
      </c>
    </row>
    <row r="151" spans="1:8" ht="15.5" x14ac:dyDescent="0.35">
      <c r="A151" s="4" t="s">
        <v>408</v>
      </c>
      <c r="B151" s="4">
        <v>1997</v>
      </c>
      <c r="C151" s="4"/>
      <c r="D151" s="9">
        <v>22</v>
      </c>
      <c r="E151" s="10" t="s">
        <v>203</v>
      </c>
      <c r="F151" s="4">
        <v>14</v>
      </c>
      <c r="G151" s="4" t="s">
        <v>419</v>
      </c>
      <c r="H151" s="4" t="s">
        <v>420</v>
      </c>
    </row>
    <row r="152" spans="1:8" ht="15.5" x14ac:dyDescent="0.35">
      <c r="A152" s="4" t="s">
        <v>408</v>
      </c>
      <c r="B152" s="4">
        <v>1999</v>
      </c>
      <c r="C152" s="4"/>
      <c r="D152" s="9">
        <v>86</v>
      </c>
      <c r="E152" s="10" t="s">
        <v>421</v>
      </c>
      <c r="F152" s="4">
        <v>22</v>
      </c>
      <c r="G152" s="4" t="s">
        <v>422</v>
      </c>
      <c r="H152" s="4" t="s">
        <v>423</v>
      </c>
    </row>
    <row r="153" spans="1:8" ht="15.5" x14ac:dyDescent="0.35">
      <c r="A153" s="4" t="s">
        <v>408</v>
      </c>
      <c r="B153" s="4">
        <v>2001</v>
      </c>
      <c r="C153" s="4"/>
      <c r="D153" s="9">
        <v>29</v>
      </c>
      <c r="E153" s="10" t="s">
        <v>424</v>
      </c>
      <c r="F153" s="4">
        <v>3</v>
      </c>
      <c r="G153" s="4" t="s">
        <v>425</v>
      </c>
      <c r="H153" s="4" t="s">
        <v>426</v>
      </c>
    </row>
    <row r="154" spans="1:8" ht="15.5" x14ac:dyDescent="0.35">
      <c r="A154" s="4" t="s">
        <v>408</v>
      </c>
      <c r="B154" s="4">
        <v>2002</v>
      </c>
      <c r="C154" s="4"/>
      <c r="D154" s="9">
        <v>33</v>
      </c>
      <c r="E154" s="10" t="s">
        <v>381</v>
      </c>
      <c r="F154" s="4">
        <v>15</v>
      </c>
      <c r="G154" s="4" t="s">
        <v>427</v>
      </c>
      <c r="H154" s="4" t="s">
        <v>428</v>
      </c>
    </row>
    <row r="155" spans="1:8" ht="15.5" x14ac:dyDescent="0.35">
      <c r="A155" s="4" t="s">
        <v>408</v>
      </c>
      <c r="B155" s="4">
        <v>2003</v>
      </c>
      <c r="C155" s="4"/>
      <c r="D155" s="9">
        <v>27</v>
      </c>
      <c r="E155" s="10" t="s">
        <v>215</v>
      </c>
      <c r="F155" s="4">
        <v>6</v>
      </c>
      <c r="G155" s="4" t="s">
        <v>429</v>
      </c>
      <c r="H155" s="4" t="s">
        <v>430</v>
      </c>
    </row>
    <row r="156" spans="1:8" ht="15.5" x14ac:dyDescent="0.35">
      <c r="A156" s="4" t="s">
        <v>408</v>
      </c>
      <c r="B156" s="4">
        <v>2004</v>
      </c>
      <c r="C156" s="4" t="s">
        <v>9</v>
      </c>
      <c r="D156" s="9">
        <v>91</v>
      </c>
      <c r="E156" s="10" t="s">
        <v>431</v>
      </c>
      <c r="F156" s="4">
        <v>12</v>
      </c>
      <c r="G156" s="4" t="s">
        <v>432</v>
      </c>
      <c r="H156" s="4" t="s">
        <v>433</v>
      </c>
    </row>
    <row r="157" spans="1:8" ht="15.5" x14ac:dyDescent="0.35">
      <c r="A157" s="4" t="s">
        <v>408</v>
      </c>
      <c r="B157" s="4">
        <v>2005</v>
      </c>
      <c r="C157" s="4" t="s">
        <v>9</v>
      </c>
      <c r="D157" s="9">
        <v>79</v>
      </c>
      <c r="E157" s="10" t="s">
        <v>191</v>
      </c>
      <c r="F157" s="4">
        <v>21</v>
      </c>
      <c r="G157" s="4" t="s">
        <v>434</v>
      </c>
      <c r="H157" s="4" t="s">
        <v>435</v>
      </c>
    </row>
    <row r="158" spans="1:8" ht="15.5" x14ac:dyDescent="0.35">
      <c r="A158" s="4" t="s">
        <v>408</v>
      </c>
      <c r="B158" s="4">
        <v>2006</v>
      </c>
      <c r="C158" s="4" t="s">
        <v>9</v>
      </c>
      <c r="D158" s="9">
        <v>229</v>
      </c>
      <c r="E158" s="10" t="s">
        <v>436</v>
      </c>
      <c r="F158" s="4">
        <v>13</v>
      </c>
      <c r="G158" s="4" t="s">
        <v>437</v>
      </c>
      <c r="H158" s="4" t="s">
        <v>438</v>
      </c>
    </row>
    <row r="159" spans="1:8" ht="15.5" x14ac:dyDescent="0.35">
      <c r="A159" s="4" t="s">
        <v>408</v>
      </c>
      <c r="B159" s="4">
        <v>2007</v>
      </c>
      <c r="C159" s="4" t="s">
        <v>9</v>
      </c>
      <c r="D159" s="9">
        <v>106</v>
      </c>
      <c r="E159" s="10" t="s">
        <v>439</v>
      </c>
      <c r="F159" s="4">
        <v>1</v>
      </c>
      <c r="G159" s="4" t="s">
        <v>440</v>
      </c>
      <c r="H159" s="4" t="s">
        <v>441</v>
      </c>
    </row>
    <row r="160" spans="1:8" ht="15.5" x14ac:dyDescent="0.35">
      <c r="A160" s="4" t="s">
        <v>408</v>
      </c>
      <c r="B160" s="4">
        <v>2008</v>
      </c>
      <c r="C160" s="4" t="s">
        <v>9</v>
      </c>
      <c r="D160" s="9">
        <v>110</v>
      </c>
      <c r="E160" s="10" t="s">
        <v>48</v>
      </c>
      <c r="F160" s="4">
        <v>6</v>
      </c>
      <c r="G160" s="4" t="s">
        <v>442</v>
      </c>
      <c r="H160" s="4" t="s">
        <v>443</v>
      </c>
    </row>
    <row r="161" spans="1:8" ht="15.5" x14ac:dyDescent="0.35">
      <c r="A161" s="4" t="s">
        <v>408</v>
      </c>
      <c r="B161" s="4">
        <v>2009</v>
      </c>
      <c r="C161" s="4" t="s">
        <v>9</v>
      </c>
      <c r="D161" s="9">
        <v>106</v>
      </c>
      <c r="E161" s="10" t="s">
        <v>444</v>
      </c>
      <c r="F161" s="4">
        <v>12</v>
      </c>
      <c r="G161" s="4" t="s">
        <v>445</v>
      </c>
      <c r="H161" s="4" t="s">
        <v>446</v>
      </c>
    </row>
    <row r="162" spans="1:8" ht="15.5" x14ac:dyDescent="0.35">
      <c r="A162" s="4" t="s">
        <v>408</v>
      </c>
      <c r="B162" s="4">
        <v>2010</v>
      </c>
      <c r="C162" s="4" t="s">
        <v>9</v>
      </c>
      <c r="D162" s="9">
        <v>51</v>
      </c>
      <c r="E162" s="10" t="s">
        <v>16</v>
      </c>
      <c r="F162" s="4">
        <v>6</v>
      </c>
      <c r="G162" s="4" t="s">
        <v>447</v>
      </c>
      <c r="H162" s="4" t="s">
        <v>448</v>
      </c>
    </row>
    <row r="163" spans="1:8" ht="15.5" x14ac:dyDescent="0.35">
      <c r="A163" s="4" t="s">
        <v>408</v>
      </c>
      <c r="B163" s="4">
        <v>2011</v>
      </c>
      <c r="C163" s="4" t="s">
        <v>9</v>
      </c>
      <c r="D163" s="9">
        <v>125</v>
      </c>
      <c r="E163" s="10" t="s">
        <v>372</v>
      </c>
      <c r="F163" s="4">
        <v>2</v>
      </c>
      <c r="G163" s="4" t="s">
        <v>449</v>
      </c>
      <c r="H163" s="4" t="s">
        <v>450</v>
      </c>
    </row>
    <row r="164" spans="1:8" ht="15.5" x14ac:dyDescent="0.35">
      <c r="A164" s="4" t="s">
        <v>408</v>
      </c>
      <c r="B164" s="4">
        <v>2012</v>
      </c>
      <c r="C164" s="4" t="s">
        <v>9</v>
      </c>
      <c r="D164" s="9">
        <v>55</v>
      </c>
      <c r="E164" s="10" t="s">
        <v>54</v>
      </c>
      <c r="F164" s="4">
        <v>5</v>
      </c>
      <c r="G164" s="4" t="s">
        <v>451</v>
      </c>
      <c r="H164" s="4" t="s">
        <v>452</v>
      </c>
    </row>
    <row r="165" spans="1:8" ht="15.5" x14ac:dyDescent="0.35">
      <c r="A165" s="4" t="s">
        <v>453</v>
      </c>
      <c r="B165" s="4">
        <v>2007</v>
      </c>
      <c r="C165" s="4" t="s">
        <v>9</v>
      </c>
      <c r="D165" s="9">
        <v>157</v>
      </c>
      <c r="E165" s="10" t="s">
        <v>454</v>
      </c>
      <c r="F165" s="4">
        <v>21</v>
      </c>
      <c r="G165" s="4" t="s">
        <v>455</v>
      </c>
      <c r="H165" s="4" t="s">
        <v>456</v>
      </c>
    </row>
    <row r="166" spans="1:8" ht="15.5" x14ac:dyDescent="0.35">
      <c r="A166" s="4" t="s">
        <v>453</v>
      </c>
      <c r="B166" s="4">
        <v>2016</v>
      </c>
      <c r="C166" s="4" t="s">
        <v>9</v>
      </c>
      <c r="D166" s="9">
        <v>307</v>
      </c>
      <c r="E166" s="10" t="s">
        <v>57</v>
      </c>
      <c r="F166" s="4">
        <v>8</v>
      </c>
      <c r="G166" s="4" t="s">
        <v>457</v>
      </c>
      <c r="H166" s="4" t="s">
        <v>458</v>
      </c>
    </row>
    <row r="167" spans="1:8" ht="15.5" x14ac:dyDescent="0.35">
      <c r="A167" s="4" t="s">
        <v>453</v>
      </c>
      <c r="B167" s="4">
        <v>2017</v>
      </c>
      <c r="C167" s="4" t="s">
        <v>9</v>
      </c>
      <c r="D167" s="9">
        <v>615</v>
      </c>
      <c r="E167" s="10" t="s">
        <v>75</v>
      </c>
      <c r="F167" s="4">
        <v>25</v>
      </c>
      <c r="G167" s="4" t="s">
        <v>459</v>
      </c>
      <c r="H167" s="4" t="s">
        <v>460</v>
      </c>
    </row>
    <row r="168" spans="1:8" ht="15.5" x14ac:dyDescent="0.35">
      <c r="A168" s="4" t="s">
        <v>453</v>
      </c>
      <c r="B168" s="4">
        <v>2018</v>
      </c>
      <c r="C168" s="4" t="s">
        <v>9</v>
      </c>
      <c r="D168" s="9">
        <v>166</v>
      </c>
      <c r="E168" s="10" t="s">
        <v>246</v>
      </c>
      <c r="F168" s="4">
        <v>18</v>
      </c>
      <c r="G168" s="4" t="s">
        <v>461</v>
      </c>
      <c r="H168" s="4" t="s">
        <v>462</v>
      </c>
    </row>
    <row r="169" spans="1:8" ht="15.5" x14ac:dyDescent="0.35">
      <c r="A169" s="4" t="s">
        <v>453</v>
      </c>
      <c r="B169" s="4">
        <v>2021</v>
      </c>
      <c r="C169" s="4" t="s">
        <v>9</v>
      </c>
      <c r="D169" s="9">
        <v>170</v>
      </c>
      <c r="E169" s="10" t="s">
        <v>30</v>
      </c>
      <c r="F169" s="4">
        <v>17</v>
      </c>
      <c r="G169" s="4" t="s">
        <v>463</v>
      </c>
      <c r="H169" s="4" t="s">
        <v>464</v>
      </c>
    </row>
    <row r="170" spans="1:8" ht="15.5" x14ac:dyDescent="0.35">
      <c r="A170" s="4" t="s">
        <v>465</v>
      </c>
      <c r="B170" s="4">
        <v>1993</v>
      </c>
      <c r="C170" s="4"/>
      <c r="D170" s="9">
        <v>31</v>
      </c>
      <c r="E170" s="10" t="s">
        <v>86</v>
      </c>
      <c r="F170" s="4">
        <v>21</v>
      </c>
      <c r="G170" s="4" t="s">
        <v>466</v>
      </c>
      <c r="H170" s="4" t="s">
        <v>467</v>
      </c>
    </row>
    <row r="171" spans="1:8" ht="15.5" x14ac:dyDescent="0.35">
      <c r="A171" s="4" t="s">
        <v>465</v>
      </c>
      <c r="B171" s="4">
        <v>1994</v>
      </c>
      <c r="C171" s="4"/>
      <c r="D171" s="9">
        <v>27</v>
      </c>
      <c r="E171" s="10" t="s">
        <v>21</v>
      </c>
      <c r="F171" s="4">
        <v>7</v>
      </c>
      <c r="G171" s="4" t="s">
        <v>468</v>
      </c>
      <c r="H171" s="4" t="s">
        <v>469</v>
      </c>
    </row>
    <row r="172" spans="1:8" ht="15.5" x14ac:dyDescent="0.35">
      <c r="A172" s="4" t="s">
        <v>465</v>
      </c>
      <c r="B172" s="4">
        <v>1995</v>
      </c>
      <c r="C172" s="4"/>
      <c r="D172" s="9">
        <v>91</v>
      </c>
      <c r="E172" s="10" t="s">
        <v>470</v>
      </c>
      <c r="F172" s="4">
        <v>11</v>
      </c>
      <c r="G172" s="4" t="s">
        <v>471</v>
      </c>
      <c r="H172" s="4" t="s">
        <v>472</v>
      </c>
    </row>
    <row r="173" spans="1:8" ht="15.5" x14ac:dyDescent="0.35">
      <c r="A173" s="4" t="s">
        <v>465</v>
      </c>
      <c r="B173" s="4">
        <v>1996</v>
      </c>
      <c r="C173" s="4"/>
      <c r="D173" s="9">
        <v>98</v>
      </c>
      <c r="E173" s="10" t="s">
        <v>473</v>
      </c>
      <c r="F173" s="4">
        <v>7</v>
      </c>
      <c r="G173" s="4" t="s">
        <v>474</v>
      </c>
      <c r="H173" s="4" t="s">
        <v>475</v>
      </c>
    </row>
    <row r="174" spans="1:8" ht="15.5" x14ac:dyDescent="0.35">
      <c r="A174" s="4" t="s">
        <v>465</v>
      </c>
      <c r="B174" s="4">
        <v>1997</v>
      </c>
      <c r="C174" s="4"/>
      <c r="D174" s="9">
        <v>24</v>
      </c>
      <c r="E174" s="10" t="s">
        <v>16</v>
      </c>
      <c r="F174" s="4">
        <v>23</v>
      </c>
      <c r="G174" s="4" t="s">
        <v>476</v>
      </c>
      <c r="H174" s="4" t="s">
        <v>477</v>
      </c>
    </row>
    <row r="175" spans="1:8" ht="15.5" x14ac:dyDescent="0.35">
      <c r="A175" s="4" t="s">
        <v>465</v>
      </c>
      <c r="B175" s="4">
        <v>1998</v>
      </c>
      <c r="C175" s="4"/>
      <c r="D175" s="9">
        <v>131</v>
      </c>
      <c r="E175" s="10" t="s">
        <v>228</v>
      </c>
      <c r="F175" s="4">
        <v>1</v>
      </c>
      <c r="G175" s="4" t="s">
        <v>478</v>
      </c>
      <c r="H175" s="4" t="s">
        <v>479</v>
      </c>
    </row>
    <row r="176" spans="1:8" ht="15.5" x14ac:dyDescent="0.35">
      <c r="A176" s="4" t="s">
        <v>465</v>
      </c>
      <c r="B176" s="4">
        <v>1999</v>
      </c>
      <c r="C176" s="4"/>
      <c r="D176" s="9">
        <v>118</v>
      </c>
      <c r="E176" s="10" t="s">
        <v>473</v>
      </c>
      <c r="F176" s="4">
        <v>4</v>
      </c>
      <c r="G176" s="4" t="s">
        <v>480</v>
      </c>
      <c r="H176" s="4" t="s">
        <v>481</v>
      </c>
    </row>
    <row r="177" spans="1:8" ht="15.5" x14ac:dyDescent="0.35">
      <c r="A177" s="4" t="s">
        <v>465</v>
      </c>
      <c r="B177" s="4">
        <v>2000</v>
      </c>
      <c r="C177" s="4"/>
      <c r="D177" s="9">
        <v>70</v>
      </c>
      <c r="E177" s="10" t="s">
        <v>431</v>
      </c>
      <c r="F177" s="4">
        <v>17</v>
      </c>
      <c r="G177" s="4" t="s">
        <v>482</v>
      </c>
      <c r="H177" s="4" t="s">
        <v>483</v>
      </c>
    </row>
    <row r="178" spans="1:8" ht="15.5" x14ac:dyDescent="0.35">
      <c r="A178" s="4" t="s">
        <v>465</v>
      </c>
      <c r="B178" s="4">
        <v>2001</v>
      </c>
      <c r="C178" s="4"/>
      <c r="D178" s="9">
        <v>42</v>
      </c>
      <c r="E178" s="10" t="s">
        <v>174</v>
      </c>
      <c r="F178" s="4">
        <v>10</v>
      </c>
      <c r="G178" s="4" t="s">
        <v>484</v>
      </c>
      <c r="H178" s="4" t="s">
        <v>485</v>
      </c>
    </row>
    <row r="179" spans="1:8" ht="15.5" x14ac:dyDescent="0.35">
      <c r="A179" s="4" t="s">
        <v>465</v>
      </c>
      <c r="B179" s="4">
        <v>2002</v>
      </c>
      <c r="C179" s="4"/>
      <c r="D179" s="9">
        <v>44</v>
      </c>
      <c r="E179" s="10" t="s">
        <v>439</v>
      </c>
      <c r="F179" s="4">
        <v>6</v>
      </c>
      <c r="G179" s="4" t="s">
        <v>486</v>
      </c>
      <c r="H179" s="4" t="s">
        <v>487</v>
      </c>
    </row>
    <row r="180" spans="1:8" ht="15.5" x14ac:dyDescent="0.35">
      <c r="A180" s="4" t="s">
        <v>465</v>
      </c>
      <c r="B180" s="4">
        <v>2003</v>
      </c>
      <c r="C180" s="4"/>
      <c r="D180" s="9">
        <v>29</v>
      </c>
      <c r="E180" s="10" t="s">
        <v>488</v>
      </c>
      <c r="F180" s="4">
        <v>8</v>
      </c>
      <c r="G180" s="4" t="s">
        <v>489</v>
      </c>
      <c r="H180" s="4" t="s">
        <v>490</v>
      </c>
    </row>
    <row r="181" spans="1:8" ht="15.5" x14ac:dyDescent="0.35">
      <c r="A181" s="4" t="s">
        <v>465</v>
      </c>
      <c r="B181" s="4">
        <v>2004</v>
      </c>
      <c r="C181" s="4" t="s">
        <v>9</v>
      </c>
      <c r="D181" s="9">
        <v>50</v>
      </c>
      <c r="E181" s="10" t="s">
        <v>491</v>
      </c>
      <c r="F181" s="4">
        <v>11</v>
      </c>
      <c r="G181" s="4" t="s">
        <v>492</v>
      </c>
      <c r="H181" s="4" t="s">
        <v>493</v>
      </c>
    </row>
    <row r="182" spans="1:8" ht="15.5" x14ac:dyDescent="0.35">
      <c r="A182" s="4" t="s">
        <v>465</v>
      </c>
      <c r="B182" s="4">
        <v>2005</v>
      </c>
      <c r="C182" s="4" t="s">
        <v>9</v>
      </c>
      <c r="D182" s="9">
        <v>115</v>
      </c>
      <c r="E182" s="10" t="s">
        <v>439</v>
      </c>
      <c r="F182" s="4">
        <v>18</v>
      </c>
      <c r="G182" s="4" t="s">
        <v>494</v>
      </c>
      <c r="H182" s="4" t="s">
        <v>495</v>
      </c>
    </row>
    <row r="183" spans="1:8" ht="15.5" x14ac:dyDescent="0.35">
      <c r="A183" s="4" t="s">
        <v>465</v>
      </c>
      <c r="B183" s="4">
        <v>2006</v>
      </c>
      <c r="C183" s="4" t="s">
        <v>9</v>
      </c>
      <c r="D183" s="9">
        <v>56</v>
      </c>
      <c r="E183" s="10" t="s">
        <v>491</v>
      </c>
      <c r="F183" s="4">
        <v>20</v>
      </c>
      <c r="G183" s="4" t="s">
        <v>496</v>
      </c>
      <c r="H183" s="4" t="s">
        <v>497</v>
      </c>
    </row>
    <row r="184" spans="1:8" ht="15.5" x14ac:dyDescent="0.35">
      <c r="A184" s="4" t="s">
        <v>465</v>
      </c>
      <c r="B184" s="4">
        <v>2008</v>
      </c>
      <c r="C184" s="4" t="s">
        <v>9</v>
      </c>
      <c r="D184" s="9">
        <v>44</v>
      </c>
      <c r="E184" s="10" t="s">
        <v>186</v>
      </c>
      <c r="F184" s="4">
        <v>9</v>
      </c>
      <c r="G184" s="4" t="s">
        <v>498</v>
      </c>
      <c r="H184" s="4" t="s">
        <v>499</v>
      </c>
    </row>
    <row r="185" spans="1:8" ht="15.5" x14ac:dyDescent="0.35">
      <c r="A185" s="4" t="s">
        <v>465</v>
      </c>
      <c r="B185" s="4">
        <v>2009</v>
      </c>
      <c r="C185" s="4" t="s">
        <v>9</v>
      </c>
      <c r="D185" s="9">
        <v>45</v>
      </c>
      <c r="E185" s="10" t="s">
        <v>203</v>
      </c>
      <c r="F185" s="4">
        <v>5</v>
      </c>
      <c r="G185" s="4" t="s">
        <v>500</v>
      </c>
      <c r="H185" s="4" t="s">
        <v>501</v>
      </c>
    </row>
    <row r="186" spans="1:8" ht="15.5" x14ac:dyDescent="0.35">
      <c r="A186" s="4" t="s">
        <v>465</v>
      </c>
      <c r="B186" s="4">
        <v>2016</v>
      </c>
      <c r="C186" s="4" t="s">
        <v>9</v>
      </c>
      <c r="D186" s="9">
        <v>73</v>
      </c>
      <c r="E186" s="10" t="s">
        <v>502</v>
      </c>
      <c r="F186" s="4">
        <v>17</v>
      </c>
      <c r="G186" s="4" t="s">
        <v>503</v>
      </c>
      <c r="H186" s="4" t="s">
        <v>504</v>
      </c>
    </row>
    <row r="187" spans="1:8" ht="15.5" x14ac:dyDescent="0.35">
      <c r="A187" s="4" t="s">
        <v>465</v>
      </c>
      <c r="B187" s="4">
        <v>2017</v>
      </c>
      <c r="C187" s="4" t="s">
        <v>9</v>
      </c>
      <c r="D187" s="9">
        <v>128</v>
      </c>
      <c r="E187" s="10" t="s">
        <v>212</v>
      </c>
      <c r="F187" s="4">
        <v>13</v>
      </c>
      <c r="G187" s="4" t="s">
        <v>505</v>
      </c>
      <c r="H187" s="4" t="s">
        <v>506</v>
      </c>
    </row>
    <row r="188" spans="1:8" ht="15.5" x14ac:dyDescent="0.35">
      <c r="A188" s="4" t="s">
        <v>507</v>
      </c>
      <c r="B188" s="4">
        <v>1981</v>
      </c>
      <c r="C188" s="4"/>
      <c r="D188" s="9">
        <v>69</v>
      </c>
      <c r="E188" s="10" t="s">
        <v>508</v>
      </c>
      <c r="F188" s="4">
        <v>18</v>
      </c>
      <c r="G188" s="4" t="s">
        <v>509</v>
      </c>
      <c r="H188" s="4" t="s">
        <v>510</v>
      </c>
    </row>
    <row r="189" spans="1:8" ht="15.5" x14ac:dyDescent="0.35">
      <c r="A189" s="4" t="s">
        <v>507</v>
      </c>
      <c r="B189" s="4">
        <v>1982</v>
      </c>
      <c r="C189" s="4"/>
      <c r="D189" s="9">
        <v>85</v>
      </c>
      <c r="E189" s="10" t="s">
        <v>127</v>
      </c>
      <c r="F189" s="4">
        <v>8</v>
      </c>
      <c r="G189" s="4" t="s">
        <v>511</v>
      </c>
      <c r="H189" s="4" t="s">
        <v>512</v>
      </c>
    </row>
    <row r="190" spans="1:8" ht="15.5" x14ac:dyDescent="0.35">
      <c r="A190" s="4" t="s">
        <v>507</v>
      </c>
      <c r="B190" s="4">
        <v>1983</v>
      </c>
      <c r="C190" s="4"/>
      <c r="D190" s="9">
        <v>26</v>
      </c>
      <c r="E190" s="10" t="s">
        <v>513</v>
      </c>
      <c r="F190" s="4">
        <v>13</v>
      </c>
      <c r="G190" s="4" t="s">
        <v>514</v>
      </c>
      <c r="H190" s="4" t="s">
        <v>515</v>
      </c>
    </row>
    <row r="191" spans="1:8" ht="15.5" x14ac:dyDescent="0.35">
      <c r="A191" s="4" t="s">
        <v>507</v>
      </c>
      <c r="B191" s="4">
        <v>1984</v>
      </c>
      <c r="C191" s="4"/>
      <c r="D191" s="9">
        <v>31</v>
      </c>
      <c r="E191" s="10" t="s">
        <v>315</v>
      </c>
      <c r="F191" s="4">
        <v>7</v>
      </c>
      <c r="G191" s="4" t="s">
        <v>516</v>
      </c>
      <c r="H191" s="4" t="s">
        <v>517</v>
      </c>
    </row>
    <row r="192" spans="1:8" ht="15.5" x14ac:dyDescent="0.35">
      <c r="A192" s="4" t="s">
        <v>507</v>
      </c>
      <c r="B192" s="4">
        <v>1985</v>
      </c>
      <c r="C192" s="4"/>
      <c r="D192" s="9">
        <v>15</v>
      </c>
      <c r="E192" s="10" t="s">
        <v>518</v>
      </c>
      <c r="F192" s="4">
        <v>3</v>
      </c>
      <c r="G192" s="4" t="s">
        <v>519</v>
      </c>
      <c r="H192" s="4" t="s">
        <v>520</v>
      </c>
    </row>
    <row r="193" spans="1:8" ht="15.5" x14ac:dyDescent="0.35">
      <c r="A193" s="4" t="s">
        <v>507</v>
      </c>
      <c r="B193" s="4">
        <v>1986</v>
      </c>
      <c r="C193" s="4"/>
      <c r="D193" s="9">
        <v>4</v>
      </c>
      <c r="E193" s="10" t="s">
        <v>521</v>
      </c>
      <c r="F193" s="4">
        <v>15</v>
      </c>
      <c r="G193" s="4" t="s">
        <v>522</v>
      </c>
      <c r="H193" s="4" t="s">
        <v>523</v>
      </c>
    </row>
    <row r="194" spans="1:8" ht="15.5" x14ac:dyDescent="0.35">
      <c r="A194" s="4" t="s">
        <v>507</v>
      </c>
      <c r="B194" s="4">
        <v>1987</v>
      </c>
      <c r="C194" s="4"/>
      <c r="D194" s="9">
        <v>80</v>
      </c>
      <c r="E194" s="10" t="s">
        <v>524</v>
      </c>
      <c r="F194" s="4">
        <v>17</v>
      </c>
      <c r="G194" s="4" t="s">
        <v>525</v>
      </c>
      <c r="H194" s="4" t="s">
        <v>526</v>
      </c>
    </row>
    <row r="195" spans="1:8" ht="15.5" x14ac:dyDescent="0.35">
      <c r="A195" s="4" t="s">
        <v>507</v>
      </c>
      <c r="B195" s="4">
        <v>1989</v>
      </c>
      <c r="C195" s="4"/>
      <c r="D195" s="9">
        <v>51</v>
      </c>
      <c r="E195" s="10" t="s">
        <v>346</v>
      </c>
      <c r="F195" s="4">
        <v>17</v>
      </c>
      <c r="G195" s="4" t="s">
        <v>527</v>
      </c>
      <c r="H195" s="4" t="s">
        <v>528</v>
      </c>
    </row>
    <row r="196" spans="1:8" ht="15.5" x14ac:dyDescent="0.35">
      <c r="A196" s="4" t="s">
        <v>507</v>
      </c>
      <c r="B196" s="4">
        <v>1990</v>
      </c>
      <c r="C196" s="4"/>
      <c r="D196" s="9">
        <v>36</v>
      </c>
      <c r="E196" s="10" t="s">
        <v>529</v>
      </c>
      <c r="F196" s="4">
        <v>21</v>
      </c>
      <c r="G196" s="4" t="s">
        <v>530</v>
      </c>
      <c r="H196" s="4" t="s">
        <v>531</v>
      </c>
    </row>
    <row r="197" spans="1:8" ht="15.5" x14ac:dyDescent="0.35">
      <c r="A197" s="4" t="s">
        <v>507</v>
      </c>
      <c r="B197" s="4">
        <v>1991</v>
      </c>
      <c r="C197" s="4"/>
      <c r="D197" s="9">
        <v>60</v>
      </c>
      <c r="E197" s="10" t="s">
        <v>532</v>
      </c>
      <c r="F197" s="4">
        <v>21</v>
      </c>
      <c r="G197" s="4" t="s">
        <v>533</v>
      </c>
      <c r="H197" s="4" t="s">
        <v>534</v>
      </c>
    </row>
    <row r="198" spans="1:8" ht="15.5" x14ac:dyDescent="0.35">
      <c r="A198" s="4" t="s">
        <v>507</v>
      </c>
      <c r="B198" s="4">
        <v>1992</v>
      </c>
      <c r="C198" s="4"/>
      <c r="D198" s="9">
        <v>57</v>
      </c>
      <c r="E198" s="10" t="s">
        <v>535</v>
      </c>
      <c r="F198" s="4">
        <v>9</v>
      </c>
      <c r="G198" s="4" t="s">
        <v>536</v>
      </c>
      <c r="H198" s="4" t="s">
        <v>537</v>
      </c>
    </row>
    <row r="199" spans="1:8" ht="15.5" x14ac:dyDescent="0.35">
      <c r="A199" s="4" t="s">
        <v>507</v>
      </c>
      <c r="B199" s="4">
        <v>1993</v>
      </c>
      <c r="C199" s="4"/>
      <c r="D199" s="9">
        <v>17</v>
      </c>
      <c r="E199" s="10" t="s">
        <v>405</v>
      </c>
      <c r="F199" s="4">
        <v>23</v>
      </c>
      <c r="G199" s="4" t="s">
        <v>538</v>
      </c>
      <c r="H199" s="4" t="s">
        <v>539</v>
      </c>
    </row>
    <row r="200" spans="1:8" ht="15.5" x14ac:dyDescent="0.35">
      <c r="A200" s="4" t="s">
        <v>507</v>
      </c>
      <c r="B200" s="4">
        <v>1994</v>
      </c>
      <c r="C200" s="4"/>
      <c r="D200" s="9">
        <v>51</v>
      </c>
      <c r="E200" s="10" t="s">
        <v>540</v>
      </c>
      <c r="F200" s="4">
        <v>4</v>
      </c>
      <c r="G200" s="4" t="s">
        <v>536</v>
      </c>
      <c r="H200" s="4" t="s">
        <v>541</v>
      </c>
    </row>
    <row r="201" spans="1:8" ht="15.5" x14ac:dyDescent="0.35">
      <c r="A201" s="4" t="s">
        <v>507</v>
      </c>
      <c r="B201" s="4">
        <v>1995</v>
      </c>
      <c r="C201" s="4"/>
      <c r="D201" s="9">
        <v>79</v>
      </c>
      <c r="E201" s="10" t="s">
        <v>542</v>
      </c>
      <c r="F201" s="4">
        <v>17</v>
      </c>
      <c r="G201" s="4" t="s">
        <v>543</v>
      </c>
      <c r="H201" s="4" t="s">
        <v>544</v>
      </c>
    </row>
    <row r="202" spans="1:8" ht="15.5" x14ac:dyDescent="0.35">
      <c r="A202" s="4" t="s">
        <v>507</v>
      </c>
      <c r="B202" s="4">
        <v>1996</v>
      </c>
      <c r="C202" s="4"/>
      <c r="D202" s="9">
        <v>72</v>
      </c>
      <c r="E202" s="10" t="s">
        <v>542</v>
      </c>
      <c r="F202" s="4">
        <v>5</v>
      </c>
      <c r="G202" s="4" t="s">
        <v>545</v>
      </c>
      <c r="H202" s="4" t="s">
        <v>546</v>
      </c>
    </row>
    <row r="203" spans="1:8" ht="15.5" x14ac:dyDescent="0.35">
      <c r="A203" s="4" t="s">
        <v>507</v>
      </c>
      <c r="B203" s="4">
        <v>1997</v>
      </c>
      <c r="C203" s="4"/>
      <c r="D203" s="9">
        <v>98</v>
      </c>
      <c r="E203" s="10" t="s">
        <v>228</v>
      </c>
      <c r="F203" s="4">
        <v>1</v>
      </c>
      <c r="G203" s="4" t="s">
        <v>547</v>
      </c>
      <c r="H203" s="4" t="s">
        <v>548</v>
      </c>
    </row>
    <row r="204" spans="1:8" ht="15.5" x14ac:dyDescent="0.35">
      <c r="A204" s="4" t="s">
        <v>507</v>
      </c>
      <c r="B204" s="4">
        <v>1998</v>
      </c>
      <c r="C204" s="4"/>
      <c r="D204" s="9">
        <v>37</v>
      </c>
      <c r="E204" s="10" t="s">
        <v>540</v>
      </c>
      <c r="F204" s="4">
        <v>17</v>
      </c>
      <c r="G204" s="4" t="s">
        <v>549</v>
      </c>
      <c r="H204" s="4" t="s">
        <v>550</v>
      </c>
    </row>
    <row r="205" spans="1:8" ht="15.5" x14ac:dyDescent="0.35">
      <c r="A205" s="4" t="s">
        <v>507</v>
      </c>
      <c r="B205" s="4">
        <v>1999</v>
      </c>
      <c r="C205" s="4"/>
      <c r="D205" s="9">
        <v>2</v>
      </c>
      <c r="E205" s="10" t="s">
        <v>416</v>
      </c>
      <c r="F205" s="4">
        <v>14</v>
      </c>
      <c r="G205" s="4" t="s">
        <v>551</v>
      </c>
      <c r="H205" s="4" t="s">
        <v>552</v>
      </c>
    </row>
    <row r="206" spans="1:8" ht="15.5" x14ac:dyDescent="0.35">
      <c r="A206" s="4" t="s">
        <v>507</v>
      </c>
      <c r="B206" s="4">
        <v>2000</v>
      </c>
      <c r="C206" s="4"/>
      <c r="D206" s="9">
        <v>8</v>
      </c>
      <c r="E206" s="10" t="s">
        <v>200</v>
      </c>
      <c r="F206" s="4">
        <v>11</v>
      </c>
      <c r="G206" s="4" t="s">
        <v>553</v>
      </c>
      <c r="H206" s="4" t="s">
        <v>554</v>
      </c>
    </row>
    <row r="207" spans="1:8" ht="15.5" x14ac:dyDescent="0.35">
      <c r="A207" s="4" t="s">
        <v>507</v>
      </c>
      <c r="B207" s="4">
        <v>2002</v>
      </c>
      <c r="C207" s="4"/>
      <c r="D207" s="9">
        <v>85</v>
      </c>
      <c r="E207" s="10" t="s">
        <v>257</v>
      </c>
      <c r="F207" s="4">
        <v>1</v>
      </c>
      <c r="G207" s="4" t="s">
        <v>555</v>
      </c>
      <c r="H207" s="4" t="s">
        <v>556</v>
      </c>
    </row>
    <row r="208" spans="1:8" ht="15.5" x14ac:dyDescent="0.35">
      <c r="A208" s="4" t="s">
        <v>507</v>
      </c>
      <c r="B208" s="4">
        <v>2003</v>
      </c>
      <c r="C208" s="4"/>
      <c r="D208" s="9">
        <v>15</v>
      </c>
      <c r="E208" s="10" t="s">
        <v>81</v>
      </c>
      <c r="F208" s="4">
        <v>9</v>
      </c>
      <c r="G208" s="4" t="s">
        <v>557</v>
      </c>
      <c r="H208" s="4" t="s">
        <v>558</v>
      </c>
    </row>
    <row r="209" spans="1:8" ht="15.5" x14ac:dyDescent="0.35">
      <c r="A209" s="4" t="s">
        <v>507</v>
      </c>
      <c r="B209" s="4">
        <v>2004</v>
      </c>
      <c r="C209" s="4" t="s">
        <v>9</v>
      </c>
      <c r="D209" s="9">
        <v>170</v>
      </c>
      <c r="E209" s="10" t="s">
        <v>454</v>
      </c>
      <c r="F209" s="4">
        <v>21</v>
      </c>
      <c r="G209" s="4" t="s">
        <v>559</v>
      </c>
      <c r="H209" s="4" t="s">
        <v>560</v>
      </c>
    </row>
    <row r="210" spans="1:8" ht="15.5" x14ac:dyDescent="0.35">
      <c r="A210" s="4" t="s">
        <v>507</v>
      </c>
      <c r="B210" s="4">
        <v>2005</v>
      </c>
      <c r="C210" s="4" t="s">
        <v>9</v>
      </c>
      <c r="D210" s="9">
        <v>46</v>
      </c>
      <c r="E210" s="10" t="s">
        <v>194</v>
      </c>
      <c r="F210" s="4">
        <v>9</v>
      </c>
      <c r="G210" s="4" t="s">
        <v>561</v>
      </c>
      <c r="H210" s="4" t="s">
        <v>562</v>
      </c>
    </row>
    <row r="211" spans="1:8" ht="15.5" x14ac:dyDescent="0.35">
      <c r="A211" s="4" t="s">
        <v>507</v>
      </c>
      <c r="B211" s="4">
        <v>2010</v>
      </c>
      <c r="C211" s="4" t="s">
        <v>9</v>
      </c>
      <c r="D211" s="9">
        <v>27</v>
      </c>
      <c r="E211" s="10" t="s">
        <v>186</v>
      </c>
      <c r="F211" s="4">
        <v>5</v>
      </c>
      <c r="G211" s="4" t="s">
        <v>563</v>
      </c>
      <c r="H211" s="4" t="s">
        <v>564</v>
      </c>
    </row>
    <row r="212" spans="1:8" ht="15.5" x14ac:dyDescent="0.35">
      <c r="A212" s="4" t="s">
        <v>507</v>
      </c>
      <c r="B212" s="4">
        <v>2012</v>
      </c>
      <c r="C212" s="4" t="s">
        <v>9</v>
      </c>
      <c r="D212" s="9">
        <v>65</v>
      </c>
      <c r="E212" s="10" t="s">
        <v>215</v>
      </c>
      <c r="F212" s="4">
        <v>8</v>
      </c>
      <c r="G212" s="4" t="s">
        <v>565</v>
      </c>
      <c r="H212" s="4" t="s">
        <v>566</v>
      </c>
    </row>
    <row r="213" spans="1:8" ht="15.5" x14ac:dyDescent="0.35">
      <c r="A213" s="4" t="s">
        <v>507</v>
      </c>
      <c r="B213" s="4">
        <v>2015</v>
      </c>
      <c r="C213" s="4" t="s">
        <v>9</v>
      </c>
      <c r="D213" s="9">
        <v>11</v>
      </c>
      <c r="E213" s="10" t="s">
        <v>567</v>
      </c>
      <c r="F213" s="4">
        <v>11</v>
      </c>
      <c r="G213" s="4" t="s">
        <v>568</v>
      </c>
      <c r="H213" s="4" t="s">
        <v>569</v>
      </c>
    </row>
    <row r="214" spans="1:8" ht="15.5" x14ac:dyDescent="0.35">
      <c r="A214" s="4" t="s">
        <v>507</v>
      </c>
      <c r="B214" s="4">
        <v>2016</v>
      </c>
      <c r="C214" s="4" t="s">
        <v>9</v>
      </c>
      <c r="D214" s="9">
        <v>96</v>
      </c>
      <c r="E214" s="10" t="s">
        <v>36</v>
      </c>
      <c r="F214" s="4">
        <v>14</v>
      </c>
      <c r="G214" s="4" t="s">
        <v>570</v>
      </c>
      <c r="H214" s="4" t="s">
        <v>571</v>
      </c>
    </row>
    <row r="215" spans="1:8" ht="15.5" x14ac:dyDescent="0.35">
      <c r="A215" s="4" t="s">
        <v>507</v>
      </c>
      <c r="B215" s="4">
        <v>2017</v>
      </c>
      <c r="C215" s="4" t="s">
        <v>9</v>
      </c>
      <c r="D215" s="9">
        <v>68</v>
      </c>
      <c r="E215" s="10" t="s">
        <v>36</v>
      </c>
      <c r="F215" s="4">
        <v>19</v>
      </c>
      <c r="G215" s="4" t="s">
        <v>572</v>
      </c>
      <c r="H215" s="4" t="s">
        <v>573</v>
      </c>
    </row>
    <row r="216" spans="1:8" ht="15.5" x14ac:dyDescent="0.35">
      <c r="A216" s="4" t="s">
        <v>507</v>
      </c>
      <c r="B216" s="4">
        <v>2018</v>
      </c>
      <c r="C216" s="4" t="s">
        <v>9</v>
      </c>
      <c r="D216" s="9">
        <v>436</v>
      </c>
      <c r="E216" s="10" t="s">
        <v>75</v>
      </c>
      <c r="F216" s="4">
        <v>25</v>
      </c>
      <c r="G216" s="4" t="s">
        <v>574</v>
      </c>
      <c r="H216" s="4" t="s">
        <v>575</v>
      </c>
    </row>
    <row r="217" spans="1:8" ht="15.5" x14ac:dyDescent="0.35">
      <c r="A217" s="4" t="s">
        <v>507</v>
      </c>
      <c r="B217" s="4">
        <v>2019</v>
      </c>
      <c r="C217" s="4" t="s">
        <v>9</v>
      </c>
      <c r="D217" s="9">
        <v>109</v>
      </c>
      <c r="E217" s="10" t="s">
        <v>212</v>
      </c>
      <c r="F217" s="4">
        <v>11</v>
      </c>
      <c r="G217" s="4" t="s">
        <v>576</v>
      </c>
      <c r="H217" s="4" t="s">
        <v>577</v>
      </c>
    </row>
    <row r="218" spans="1:8" ht="15.5" x14ac:dyDescent="0.35">
      <c r="A218" s="4" t="s">
        <v>507</v>
      </c>
      <c r="B218" s="4">
        <v>2021</v>
      </c>
      <c r="C218" s="4" t="s">
        <v>9</v>
      </c>
      <c r="D218" s="9">
        <v>94</v>
      </c>
      <c r="E218" s="10" t="s">
        <v>215</v>
      </c>
      <c r="F218" s="4">
        <v>1</v>
      </c>
      <c r="G218" s="4" t="s">
        <v>578</v>
      </c>
      <c r="H218" s="4" t="s">
        <v>579</v>
      </c>
    </row>
    <row r="219" spans="1:8" ht="15.5" x14ac:dyDescent="0.35">
      <c r="A219" s="4" t="s">
        <v>580</v>
      </c>
      <c r="B219" s="4">
        <v>2016</v>
      </c>
      <c r="C219" s="4" t="s">
        <v>9</v>
      </c>
      <c r="D219" s="9">
        <v>41</v>
      </c>
      <c r="E219" s="10" t="s">
        <v>581</v>
      </c>
      <c r="F219" s="4">
        <v>2</v>
      </c>
      <c r="G219" s="4" t="s">
        <v>582</v>
      </c>
      <c r="H219" s="4" t="s">
        <v>583</v>
      </c>
    </row>
    <row r="220" spans="1:8" ht="15.5" x14ac:dyDescent="0.35">
      <c r="A220" s="4" t="s">
        <v>580</v>
      </c>
      <c r="B220" s="4">
        <v>2018</v>
      </c>
      <c r="C220" s="4" t="s">
        <v>9</v>
      </c>
      <c r="D220" s="9">
        <v>281</v>
      </c>
      <c r="E220" s="10" t="s">
        <v>197</v>
      </c>
      <c r="F220" s="4">
        <v>14</v>
      </c>
      <c r="G220" s="4" t="s">
        <v>584</v>
      </c>
      <c r="H220" s="4" t="s">
        <v>585</v>
      </c>
    </row>
    <row r="221" spans="1:8" ht="15.5" x14ac:dyDescent="0.35">
      <c r="A221" s="4" t="s">
        <v>580</v>
      </c>
      <c r="B221" s="4">
        <v>2019</v>
      </c>
      <c r="C221" s="4" t="s">
        <v>9</v>
      </c>
      <c r="D221" s="9">
        <v>157</v>
      </c>
      <c r="E221" s="10" t="s">
        <v>30</v>
      </c>
      <c r="F221" s="4">
        <v>3</v>
      </c>
      <c r="G221" s="4" t="s">
        <v>586</v>
      </c>
      <c r="H221" s="4" t="s">
        <v>587</v>
      </c>
    </row>
    <row r="222" spans="1:8" ht="15.5" x14ac:dyDescent="0.35">
      <c r="A222" s="4" t="s">
        <v>580</v>
      </c>
      <c r="B222" s="4">
        <v>2022</v>
      </c>
      <c r="C222" s="4" t="s">
        <v>9</v>
      </c>
      <c r="D222" s="9">
        <v>38</v>
      </c>
      <c r="E222" s="10" t="s">
        <v>588</v>
      </c>
      <c r="F222" s="4">
        <v>1</v>
      </c>
      <c r="G222" s="4" t="s">
        <v>589</v>
      </c>
      <c r="H222" s="4" t="s">
        <v>590</v>
      </c>
    </row>
    <row r="223" spans="1:8" ht="15.5" x14ac:dyDescent="0.35">
      <c r="A223" s="4" t="s">
        <v>591</v>
      </c>
      <c r="B223" s="4">
        <v>1957</v>
      </c>
      <c r="C223" s="4"/>
      <c r="D223" s="9">
        <v>10</v>
      </c>
      <c r="E223" s="10" t="s">
        <v>592</v>
      </c>
      <c r="F223" s="4">
        <v>9</v>
      </c>
      <c r="G223" s="4" t="s">
        <v>593</v>
      </c>
      <c r="H223" s="4" t="s">
        <v>594</v>
      </c>
    </row>
    <row r="224" spans="1:8" ht="15.5" x14ac:dyDescent="0.35">
      <c r="A224" s="4" t="s">
        <v>591</v>
      </c>
      <c r="B224" s="4">
        <v>1958</v>
      </c>
      <c r="C224" s="4"/>
      <c r="D224" s="9">
        <v>3</v>
      </c>
      <c r="E224" s="10" t="s">
        <v>273</v>
      </c>
      <c r="F224" s="4">
        <v>6</v>
      </c>
      <c r="G224" s="4" t="s">
        <v>595</v>
      </c>
      <c r="H224" s="4" t="s">
        <v>596</v>
      </c>
    </row>
    <row r="225" spans="1:8" ht="15.5" x14ac:dyDescent="0.35">
      <c r="A225" s="4" t="s">
        <v>591</v>
      </c>
      <c r="B225" s="4">
        <v>1959</v>
      </c>
      <c r="C225" s="4"/>
      <c r="D225" s="9">
        <v>12</v>
      </c>
      <c r="E225" s="10" t="s">
        <v>597</v>
      </c>
      <c r="F225" s="4">
        <v>2</v>
      </c>
      <c r="G225" s="4" t="s">
        <v>598</v>
      </c>
      <c r="H225" s="4" t="s">
        <v>599</v>
      </c>
    </row>
    <row r="226" spans="1:8" ht="15.5" x14ac:dyDescent="0.35">
      <c r="A226" s="4" t="s">
        <v>591</v>
      </c>
      <c r="B226" s="4">
        <v>1960</v>
      </c>
      <c r="C226" s="4"/>
      <c r="D226" s="9">
        <v>4</v>
      </c>
      <c r="E226" s="10" t="s">
        <v>600</v>
      </c>
      <c r="F226" s="4">
        <v>4</v>
      </c>
      <c r="G226" s="4" t="s">
        <v>601</v>
      </c>
      <c r="H226" s="4" t="s">
        <v>602</v>
      </c>
    </row>
    <row r="227" spans="1:8" ht="15.5" x14ac:dyDescent="0.35">
      <c r="A227" s="4" t="s">
        <v>591</v>
      </c>
      <c r="B227" s="4">
        <v>1961</v>
      </c>
      <c r="C227" s="4"/>
      <c r="D227" s="9">
        <v>12</v>
      </c>
      <c r="E227" s="10" t="s">
        <v>603</v>
      </c>
      <c r="F227" s="4">
        <v>13</v>
      </c>
      <c r="G227" s="4" t="s">
        <v>604</v>
      </c>
      <c r="H227" s="4" t="s">
        <v>605</v>
      </c>
    </row>
    <row r="228" spans="1:8" ht="15.5" x14ac:dyDescent="0.35">
      <c r="A228" s="4" t="s">
        <v>591</v>
      </c>
      <c r="B228" s="4">
        <v>1962</v>
      </c>
      <c r="C228" s="4"/>
      <c r="D228" s="9">
        <v>2</v>
      </c>
      <c r="E228" s="10" t="s">
        <v>285</v>
      </c>
      <c r="F228" s="4">
        <v>5</v>
      </c>
      <c r="G228" s="4" t="s">
        <v>606</v>
      </c>
      <c r="H228" s="4" t="s">
        <v>607</v>
      </c>
    </row>
    <row r="229" spans="1:8" ht="15.5" x14ac:dyDescent="0.35">
      <c r="A229" s="4" t="s">
        <v>591</v>
      </c>
      <c r="B229" s="4">
        <v>1963</v>
      </c>
      <c r="C229" s="4"/>
      <c r="D229" s="9">
        <v>42</v>
      </c>
      <c r="E229" s="10" t="s">
        <v>608</v>
      </c>
      <c r="F229" s="4">
        <v>8</v>
      </c>
      <c r="G229" s="4" t="s">
        <v>609</v>
      </c>
      <c r="H229" s="4" t="s">
        <v>610</v>
      </c>
    </row>
    <row r="230" spans="1:8" ht="15.5" x14ac:dyDescent="0.35">
      <c r="A230" s="4" t="s">
        <v>591</v>
      </c>
      <c r="B230" s="4">
        <v>1964</v>
      </c>
      <c r="C230" s="4"/>
      <c r="D230" s="9">
        <v>4</v>
      </c>
      <c r="E230" s="10" t="s">
        <v>611</v>
      </c>
      <c r="F230" s="4">
        <v>4</v>
      </c>
      <c r="G230" s="4" t="s">
        <v>612</v>
      </c>
      <c r="H230" s="4" t="s">
        <v>613</v>
      </c>
    </row>
    <row r="231" spans="1:8" ht="15.5" x14ac:dyDescent="0.35">
      <c r="A231" s="4" t="s">
        <v>591</v>
      </c>
      <c r="B231" s="4">
        <v>1965</v>
      </c>
      <c r="C231" s="4"/>
      <c r="D231" s="9">
        <v>10</v>
      </c>
      <c r="E231" s="10" t="s">
        <v>321</v>
      </c>
      <c r="F231" s="4">
        <v>14</v>
      </c>
      <c r="G231" s="4" t="s">
        <v>614</v>
      </c>
      <c r="H231" s="4" t="s">
        <v>615</v>
      </c>
    </row>
    <row r="232" spans="1:8" ht="15.5" x14ac:dyDescent="0.35">
      <c r="A232" s="4" t="s">
        <v>591</v>
      </c>
      <c r="B232" s="4">
        <v>1966</v>
      </c>
      <c r="C232" s="4"/>
      <c r="D232" s="9">
        <v>4</v>
      </c>
      <c r="E232" s="10" t="s">
        <v>304</v>
      </c>
      <c r="F232" s="4">
        <v>2</v>
      </c>
      <c r="G232" s="4" t="s">
        <v>616</v>
      </c>
      <c r="H232" s="4" t="s">
        <v>617</v>
      </c>
    </row>
    <row r="233" spans="1:8" ht="15.5" x14ac:dyDescent="0.35">
      <c r="A233" s="4" t="s">
        <v>591</v>
      </c>
      <c r="B233" s="4">
        <v>1978</v>
      </c>
      <c r="C233" s="4"/>
      <c r="D233" s="9">
        <v>13</v>
      </c>
      <c r="E233" s="10" t="s">
        <v>513</v>
      </c>
      <c r="F233" s="4">
        <v>16</v>
      </c>
      <c r="G233" s="4" t="s">
        <v>618</v>
      </c>
      <c r="H233" s="4" t="s">
        <v>619</v>
      </c>
    </row>
    <row r="234" spans="1:8" ht="15.5" x14ac:dyDescent="0.35">
      <c r="A234" s="4" t="s">
        <v>591</v>
      </c>
      <c r="B234" s="4">
        <v>1979</v>
      </c>
      <c r="C234" s="4"/>
      <c r="D234" s="9">
        <v>76</v>
      </c>
      <c r="E234" s="10" t="s">
        <v>620</v>
      </c>
      <c r="F234" s="4">
        <v>3</v>
      </c>
      <c r="G234" s="4" t="s">
        <v>621</v>
      </c>
      <c r="H234" s="4" t="s">
        <v>622</v>
      </c>
    </row>
    <row r="235" spans="1:8" ht="15.5" x14ac:dyDescent="0.35">
      <c r="A235" s="4" t="s">
        <v>591</v>
      </c>
      <c r="B235" s="4">
        <v>1980</v>
      </c>
      <c r="C235" s="4"/>
      <c r="D235" s="9">
        <v>25</v>
      </c>
      <c r="E235" s="10" t="s">
        <v>623</v>
      </c>
      <c r="F235" s="4">
        <v>7</v>
      </c>
      <c r="G235" s="4" t="s">
        <v>624</v>
      </c>
      <c r="H235" s="4" t="s">
        <v>625</v>
      </c>
    </row>
    <row r="236" spans="1:8" ht="15.5" x14ac:dyDescent="0.35">
      <c r="A236" s="4" t="s">
        <v>591</v>
      </c>
      <c r="B236" s="4">
        <v>1981</v>
      </c>
      <c r="C236" s="4"/>
      <c r="D236" s="9">
        <v>41</v>
      </c>
      <c r="E236" s="10" t="s">
        <v>626</v>
      </c>
      <c r="F236" s="4">
        <v>6</v>
      </c>
      <c r="G236" s="4" t="s">
        <v>627</v>
      </c>
      <c r="H236" s="4" t="s">
        <v>628</v>
      </c>
    </row>
    <row r="237" spans="1:8" ht="15.5" x14ac:dyDescent="0.35">
      <c r="A237" s="4" t="s">
        <v>591</v>
      </c>
      <c r="B237" s="4">
        <v>1982</v>
      </c>
      <c r="C237" s="4"/>
      <c r="D237" s="9">
        <v>5</v>
      </c>
      <c r="E237" s="10" t="s">
        <v>132</v>
      </c>
      <c r="F237" s="4">
        <v>13</v>
      </c>
      <c r="G237" s="4" t="s">
        <v>629</v>
      </c>
      <c r="H237" s="4" t="s">
        <v>630</v>
      </c>
    </row>
    <row r="238" spans="1:8" ht="15.5" x14ac:dyDescent="0.35">
      <c r="A238" s="4" t="s">
        <v>591</v>
      </c>
      <c r="B238" s="4">
        <v>1983</v>
      </c>
      <c r="C238" s="4"/>
      <c r="D238" s="9">
        <v>16</v>
      </c>
      <c r="E238" s="10" t="s">
        <v>144</v>
      </c>
      <c r="F238" s="4">
        <v>15</v>
      </c>
      <c r="G238" s="4" t="s">
        <v>631</v>
      </c>
      <c r="H238" s="4" t="s">
        <v>632</v>
      </c>
    </row>
    <row r="239" spans="1:8" ht="15.5" x14ac:dyDescent="0.35">
      <c r="A239" s="4" t="s">
        <v>591</v>
      </c>
      <c r="B239" s="4">
        <v>1984</v>
      </c>
      <c r="C239" s="4"/>
      <c r="D239" s="9">
        <v>101</v>
      </c>
      <c r="E239" s="10" t="s">
        <v>633</v>
      </c>
      <c r="F239" s="4">
        <v>10</v>
      </c>
      <c r="G239" s="4" t="s">
        <v>634</v>
      </c>
      <c r="H239" s="4" t="s">
        <v>635</v>
      </c>
    </row>
    <row r="240" spans="1:8" ht="15.5" x14ac:dyDescent="0.35">
      <c r="A240" s="4" t="s">
        <v>591</v>
      </c>
      <c r="B240" s="4">
        <v>1985</v>
      </c>
      <c r="C240" s="4"/>
      <c r="D240" s="9">
        <v>41</v>
      </c>
      <c r="E240" s="10" t="s">
        <v>636</v>
      </c>
      <c r="F240" s="4">
        <v>4</v>
      </c>
      <c r="G240" s="4" t="s">
        <v>634</v>
      </c>
      <c r="H240" s="4" t="s">
        <v>637</v>
      </c>
    </row>
    <row r="241" spans="1:8" ht="15.5" x14ac:dyDescent="0.35">
      <c r="A241" s="4" t="s">
        <v>591</v>
      </c>
      <c r="B241" s="4">
        <v>1986</v>
      </c>
      <c r="C241" s="4"/>
      <c r="D241" s="9">
        <v>77</v>
      </c>
      <c r="E241" s="10" t="s">
        <v>508</v>
      </c>
      <c r="F241" s="4">
        <v>18</v>
      </c>
      <c r="G241" s="4" t="s">
        <v>638</v>
      </c>
      <c r="H241" s="4" t="s">
        <v>639</v>
      </c>
    </row>
    <row r="242" spans="1:8" ht="15.5" x14ac:dyDescent="0.35">
      <c r="A242" s="4" t="s">
        <v>591</v>
      </c>
      <c r="B242" s="4">
        <v>1987</v>
      </c>
      <c r="C242" s="4"/>
      <c r="D242" s="9">
        <v>83</v>
      </c>
      <c r="E242" s="10" t="s">
        <v>166</v>
      </c>
      <c r="F242" s="4">
        <v>19</v>
      </c>
      <c r="G242" s="4" t="s">
        <v>640</v>
      </c>
      <c r="H242" s="4" t="s">
        <v>641</v>
      </c>
    </row>
    <row r="243" spans="1:8" ht="15.5" x14ac:dyDescent="0.35">
      <c r="A243" s="4" t="s">
        <v>591</v>
      </c>
      <c r="B243" s="4">
        <v>1988</v>
      </c>
      <c r="C243" s="4"/>
      <c r="D243" s="9">
        <v>92</v>
      </c>
      <c r="E243" s="10" t="s">
        <v>642</v>
      </c>
      <c r="F243" s="4">
        <v>13</v>
      </c>
      <c r="G243" s="4" t="s">
        <v>634</v>
      </c>
      <c r="H243" s="4" t="s">
        <v>643</v>
      </c>
    </row>
    <row r="244" spans="1:8" ht="15.5" x14ac:dyDescent="0.35">
      <c r="A244" s="4" t="s">
        <v>591</v>
      </c>
      <c r="B244" s="4">
        <v>1989</v>
      </c>
      <c r="C244" s="4"/>
      <c r="D244" s="9">
        <v>111</v>
      </c>
      <c r="E244" s="10" t="s">
        <v>644</v>
      </c>
      <c r="F244" s="4">
        <v>12</v>
      </c>
      <c r="G244" s="4" t="s">
        <v>645</v>
      </c>
      <c r="H244" s="4" t="s">
        <v>646</v>
      </c>
    </row>
    <row r="245" spans="1:8" ht="15.5" x14ac:dyDescent="0.35">
      <c r="A245" s="4" t="s">
        <v>591</v>
      </c>
      <c r="B245" s="4">
        <v>1990</v>
      </c>
      <c r="C245" s="4"/>
      <c r="D245" s="9">
        <v>64</v>
      </c>
      <c r="E245" s="10" t="s">
        <v>647</v>
      </c>
      <c r="F245" s="4">
        <v>11</v>
      </c>
      <c r="G245" s="4" t="s">
        <v>648</v>
      </c>
      <c r="H245" s="4" t="s">
        <v>649</v>
      </c>
    </row>
    <row r="246" spans="1:8" ht="15.5" x14ac:dyDescent="0.35">
      <c r="A246" s="4" t="s">
        <v>591</v>
      </c>
      <c r="B246" s="4">
        <v>1991</v>
      </c>
      <c r="C246" s="4"/>
      <c r="D246" s="9">
        <v>8</v>
      </c>
      <c r="E246" s="10" t="s">
        <v>352</v>
      </c>
      <c r="F246" s="4">
        <v>13</v>
      </c>
      <c r="G246" s="4" t="s">
        <v>650</v>
      </c>
      <c r="H246" s="4" t="s">
        <v>651</v>
      </c>
    </row>
    <row r="247" spans="1:8" ht="15.5" x14ac:dyDescent="0.35">
      <c r="A247" s="4" t="s">
        <v>591</v>
      </c>
      <c r="B247" s="4">
        <v>1992</v>
      </c>
      <c r="C247" s="4"/>
      <c r="D247" s="9">
        <v>47</v>
      </c>
      <c r="E247" s="10" t="s">
        <v>375</v>
      </c>
      <c r="F247" s="4">
        <v>18</v>
      </c>
      <c r="G247" s="4" t="s">
        <v>652</v>
      </c>
      <c r="H247" s="4" t="s">
        <v>653</v>
      </c>
    </row>
    <row r="248" spans="1:8" ht="15.5" x14ac:dyDescent="0.35">
      <c r="A248" s="4" t="s">
        <v>591</v>
      </c>
      <c r="B248" s="4">
        <v>1993</v>
      </c>
      <c r="C248" s="4"/>
      <c r="D248" s="9">
        <v>9</v>
      </c>
      <c r="E248" s="10" t="s">
        <v>588</v>
      </c>
      <c r="F248" s="4">
        <v>5</v>
      </c>
      <c r="G248" s="4" t="s">
        <v>654</v>
      </c>
      <c r="H248" s="4" t="s">
        <v>655</v>
      </c>
    </row>
    <row r="249" spans="1:8" ht="15.5" x14ac:dyDescent="0.35">
      <c r="A249" s="4" t="s">
        <v>591</v>
      </c>
      <c r="B249" s="4">
        <v>1995</v>
      </c>
      <c r="C249" s="4"/>
      <c r="D249" s="9">
        <v>92</v>
      </c>
      <c r="E249" s="10" t="s">
        <v>656</v>
      </c>
      <c r="F249" s="4">
        <v>19</v>
      </c>
      <c r="G249" s="4" t="s">
        <v>657</v>
      </c>
      <c r="H249" s="4" t="s">
        <v>658</v>
      </c>
    </row>
    <row r="250" spans="1:8" ht="15.5" x14ac:dyDescent="0.35">
      <c r="A250" s="4" t="s">
        <v>591</v>
      </c>
      <c r="B250" s="4">
        <v>1997</v>
      </c>
      <c r="C250" s="4"/>
      <c r="D250" s="9">
        <v>25</v>
      </c>
      <c r="E250" s="10" t="s">
        <v>21</v>
      </c>
      <c r="F250" s="4">
        <v>21</v>
      </c>
      <c r="G250" s="4" t="s">
        <v>659</v>
      </c>
      <c r="H250" s="4" t="s">
        <v>660</v>
      </c>
    </row>
    <row r="251" spans="1:8" ht="15.5" x14ac:dyDescent="0.35">
      <c r="A251" s="4" t="s">
        <v>591</v>
      </c>
      <c r="B251" s="4">
        <v>1999</v>
      </c>
      <c r="C251" s="4"/>
      <c r="D251" s="9">
        <v>71</v>
      </c>
      <c r="E251" s="10" t="s">
        <v>661</v>
      </c>
      <c r="F251" s="4">
        <v>9</v>
      </c>
      <c r="G251" s="4" t="s">
        <v>662</v>
      </c>
      <c r="H251" s="4" t="s">
        <v>663</v>
      </c>
    </row>
    <row r="252" spans="1:8" ht="15.5" x14ac:dyDescent="0.35">
      <c r="A252" s="4" t="s">
        <v>591</v>
      </c>
      <c r="B252" s="4">
        <v>2000</v>
      </c>
      <c r="C252" s="4"/>
      <c r="D252" s="9">
        <v>195</v>
      </c>
      <c r="E252" s="10" t="s">
        <v>664</v>
      </c>
      <c r="F252" s="4">
        <v>14</v>
      </c>
      <c r="G252" s="4" t="s">
        <v>665</v>
      </c>
      <c r="H252" s="4" t="s">
        <v>666</v>
      </c>
    </row>
    <row r="253" spans="1:8" ht="15.5" x14ac:dyDescent="0.35">
      <c r="A253" s="4" t="s">
        <v>591</v>
      </c>
      <c r="B253" s="4">
        <v>2001</v>
      </c>
      <c r="C253" s="4"/>
      <c r="D253" s="9">
        <v>177</v>
      </c>
      <c r="E253" s="10" t="s">
        <v>667</v>
      </c>
      <c r="F253" s="4">
        <v>23</v>
      </c>
      <c r="G253" s="4" t="s">
        <v>668</v>
      </c>
      <c r="H253" s="4" t="s">
        <v>669</v>
      </c>
    </row>
    <row r="254" spans="1:8" ht="15.5" x14ac:dyDescent="0.35">
      <c r="A254" s="4" t="s">
        <v>591</v>
      </c>
      <c r="B254" s="4">
        <v>2002</v>
      </c>
      <c r="C254" s="4"/>
      <c r="D254" s="9">
        <v>7</v>
      </c>
      <c r="E254" s="10" t="s">
        <v>378</v>
      </c>
      <c r="F254" s="4">
        <v>14</v>
      </c>
      <c r="G254" s="4" t="s">
        <v>670</v>
      </c>
      <c r="H254" s="4" t="s">
        <v>671</v>
      </c>
    </row>
    <row r="255" spans="1:8" ht="15.5" x14ac:dyDescent="0.35">
      <c r="A255" s="4" t="s">
        <v>591</v>
      </c>
      <c r="B255" s="4">
        <v>2005</v>
      </c>
      <c r="C255" s="4" t="s">
        <v>9</v>
      </c>
      <c r="D255" s="9">
        <v>125</v>
      </c>
      <c r="E255" s="10" t="s">
        <v>431</v>
      </c>
      <c r="F255" s="4">
        <v>13</v>
      </c>
      <c r="G255" s="4" t="s">
        <v>672</v>
      </c>
      <c r="H255" s="4" t="s">
        <v>673</v>
      </c>
    </row>
    <row r="256" spans="1:8" ht="15.5" x14ac:dyDescent="0.35">
      <c r="A256" s="4" t="s">
        <v>591</v>
      </c>
      <c r="B256" s="4">
        <v>2006</v>
      </c>
      <c r="C256" s="4" t="s">
        <v>9</v>
      </c>
      <c r="D256" s="9">
        <v>26</v>
      </c>
      <c r="E256" s="10" t="s">
        <v>194</v>
      </c>
      <c r="F256" s="4">
        <v>9</v>
      </c>
      <c r="G256" s="4" t="s">
        <v>674</v>
      </c>
      <c r="H256" s="4" t="s">
        <v>675</v>
      </c>
    </row>
    <row r="257" spans="1:8" ht="15.5" x14ac:dyDescent="0.35">
      <c r="A257" s="4" t="s">
        <v>591</v>
      </c>
      <c r="B257" s="4">
        <v>2008</v>
      </c>
      <c r="C257" s="4" t="s">
        <v>9</v>
      </c>
      <c r="D257" s="9">
        <v>60</v>
      </c>
      <c r="E257" s="10" t="s">
        <v>86</v>
      </c>
      <c r="F257" s="4">
        <v>16</v>
      </c>
      <c r="G257" s="4" t="s">
        <v>676</v>
      </c>
      <c r="H257" s="4" t="s">
        <v>677</v>
      </c>
    </row>
    <row r="258" spans="1:8" ht="15.5" x14ac:dyDescent="0.35">
      <c r="A258" s="4" t="s">
        <v>591</v>
      </c>
      <c r="B258" s="4">
        <v>2009</v>
      </c>
      <c r="C258" s="4" t="s">
        <v>9</v>
      </c>
      <c r="D258" s="9">
        <v>74</v>
      </c>
      <c r="E258" s="10" t="s">
        <v>678</v>
      </c>
      <c r="F258" s="4">
        <v>16</v>
      </c>
      <c r="G258" s="4" t="s">
        <v>679</v>
      </c>
      <c r="H258" s="4" t="s">
        <v>680</v>
      </c>
    </row>
    <row r="259" spans="1:8" ht="15.5" x14ac:dyDescent="0.35">
      <c r="A259" s="4" t="s">
        <v>591</v>
      </c>
      <c r="B259" s="4">
        <v>2010</v>
      </c>
      <c r="C259" s="4" t="s">
        <v>9</v>
      </c>
      <c r="D259" s="9">
        <v>149</v>
      </c>
      <c r="E259" s="10" t="s">
        <v>45</v>
      </c>
      <c r="F259" s="4">
        <v>25</v>
      </c>
      <c r="G259" s="4" t="s">
        <v>681</v>
      </c>
      <c r="H259" s="4" t="s">
        <v>682</v>
      </c>
    </row>
    <row r="260" spans="1:8" ht="15.5" x14ac:dyDescent="0.35">
      <c r="A260" s="4" t="s">
        <v>591</v>
      </c>
      <c r="B260" s="4">
        <v>2011</v>
      </c>
      <c r="C260" s="4" t="s">
        <v>9</v>
      </c>
      <c r="D260" s="9">
        <v>134</v>
      </c>
      <c r="E260" s="10" t="s">
        <v>228</v>
      </c>
      <c r="F260" s="4">
        <v>3</v>
      </c>
      <c r="G260" s="4" t="s">
        <v>683</v>
      </c>
      <c r="H260" s="4" t="s">
        <v>684</v>
      </c>
    </row>
    <row r="261" spans="1:8" ht="15.5" x14ac:dyDescent="0.35">
      <c r="A261" s="4" t="s">
        <v>591</v>
      </c>
      <c r="B261" s="4">
        <v>2012</v>
      </c>
      <c r="C261" s="4" t="s">
        <v>9</v>
      </c>
      <c r="D261" s="9">
        <v>21</v>
      </c>
      <c r="E261" s="10" t="s">
        <v>502</v>
      </c>
      <c r="F261" s="4">
        <v>15</v>
      </c>
      <c r="G261" s="4" t="s">
        <v>685</v>
      </c>
      <c r="H261" s="4" t="s">
        <v>686</v>
      </c>
    </row>
    <row r="262" spans="1:8" ht="15.5" x14ac:dyDescent="0.35">
      <c r="A262" s="4" t="s">
        <v>591</v>
      </c>
      <c r="B262" s="4">
        <v>2013</v>
      </c>
      <c r="C262" s="4" t="s">
        <v>9</v>
      </c>
      <c r="D262" s="9">
        <v>281</v>
      </c>
      <c r="E262" s="10" t="s">
        <v>206</v>
      </c>
      <c r="F262" s="4">
        <v>18</v>
      </c>
      <c r="G262" s="4" t="s">
        <v>687</v>
      </c>
      <c r="H262" s="4" t="s">
        <v>688</v>
      </c>
    </row>
    <row r="263" spans="1:8" ht="15.5" x14ac:dyDescent="0.35">
      <c r="A263" s="4" t="s">
        <v>591</v>
      </c>
      <c r="B263" s="4">
        <v>2014</v>
      </c>
      <c r="C263" s="4" t="s">
        <v>9</v>
      </c>
      <c r="D263" s="9">
        <v>74</v>
      </c>
      <c r="E263" s="10" t="s">
        <v>78</v>
      </c>
      <c r="F263" s="4">
        <v>23</v>
      </c>
      <c r="G263" s="4" t="s">
        <v>689</v>
      </c>
      <c r="H263" s="4" t="s">
        <v>690</v>
      </c>
    </row>
    <row r="264" spans="1:8" ht="15.5" x14ac:dyDescent="0.35">
      <c r="A264" s="4" t="s">
        <v>591</v>
      </c>
      <c r="B264" s="4">
        <v>2017</v>
      </c>
      <c r="C264" s="4" t="s">
        <v>9</v>
      </c>
      <c r="D264" s="9">
        <v>77</v>
      </c>
      <c r="E264" s="10" t="s">
        <v>81</v>
      </c>
      <c r="F264" s="4">
        <v>10</v>
      </c>
      <c r="G264" s="4" t="s">
        <v>691</v>
      </c>
      <c r="H264" s="4" t="s">
        <v>692</v>
      </c>
    </row>
    <row r="265" spans="1:8" ht="15.5" x14ac:dyDescent="0.35">
      <c r="A265" s="4" t="s">
        <v>591</v>
      </c>
      <c r="B265" s="4">
        <v>2018</v>
      </c>
      <c r="C265" s="4" t="s">
        <v>9</v>
      </c>
      <c r="D265" s="9">
        <v>226</v>
      </c>
      <c r="E265" s="10" t="s">
        <v>78</v>
      </c>
      <c r="F265" s="4">
        <v>15</v>
      </c>
      <c r="G265" s="4" t="s">
        <v>693</v>
      </c>
      <c r="H265" s="4" t="s">
        <v>694</v>
      </c>
    </row>
    <row r="266" spans="1:8" ht="15.5" x14ac:dyDescent="0.35">
      <c r="A266" s="4" t="s">
        <v>591</v>
      </c>
      <c r="B266" s="4">
        <v>2019</v>
      </c>
      <c r="C266" s="4" t="s">
        <v>9</v>
      </c>
      <c r="D266" s="9">
        <v>120</v>
      </c>
      <c r="E266" s="10" t="s">
        <v>391</v>
      </c>
      <c r="F266" s="4">
        <v>6</v>
      </c>
      <c r="G266" s="4" t="s">
        <v>695</v>
      </c>
      <c r="H266" s="4" t="s">
        <v>696</v>
      </c>
    </row>
    <row r="267" spans="1:8" ht="15.5" x14ac:dyDescent="0.35">
      <c r="A267" s="4" t="s">
        <v>697</v>
      </c>
      <c r="B267" s="4">
        <v>1994</v>
      </c>
      <c r="C267" s="4"/>
      <c r="D267" s="9">
        <v>2</v>
      </c>
      <c r="E267" s="10" t="s">
        <v>260</v>
      </c>
      <c r="F267" s="4">
        <v>10</v>
      </c>
      <c r="G267" s="4" t="s">
        <v>698</v>
      </c>
      <c r="H267" s="4" t="s">
        <v>699</v>
      </c>
    </row>
    <row r="268" spans="1:8" ht="15.5" x14ac:dyDescent="0.35">
      <c r="A268" s="4" t="s">
        <v>697</v>
      </c>
      <c r="B268" s="4">
        <v>1996</v>
      </c>
      <c r="C268" s="4"/>
      <c r="D268" s="9">
        <v>94</v>
      </c>
      <c r="E268" s="10" t="s">
        <v>656</v>
      </c>
      <c r="F268" s="4">
        <v>11</v>
      </c>
      <c r="G268" s="4" t="s">
        <v>700</v>
      </c>
      <c r="H268" s="4" t="s">
        <v>701</v>
      </c>
    </row>
    <row r="269" spans="1:8" ht="15.5" x14ac:dyDescent="0.35">
      <c r="A269" s="4" t="s">
        <v>697</v>
      </c>
      <c r="B269" s="4">
        <v>1997</v>
      </c>
      <c r="C269" s="4"/>
      <c r="D269" s="9">
        <v>82</v>
      </c>
      <c r="E269" s="10" t="s">
        <v>222</v>
      </c>
      <c r="F269" s="4">
        <v>13</v>
      </c>
      <c r="G269" s="4" t="s">
        <v>702</v>
      </c>
      <c r="H269" s="4" t="s">
        <v>703</v>
      </c>
    </row>
    <row r="270" spans="1:8" ht="15.5" x14ac:dyDescent="0.35">
      <c r="A270" s="4" t="s">
        <v>697</v>
      </c>
      <c r="B270" s="4">
        <v>1998</v>
      </c>
      <c r="C270" s="4"/>
      <c r="D270" s="9">
        <v>36</v>
      </c>
      <c r="E270" s="10" t="s">
        <v>704</v>
      </c>
      <c r="F270" s="4">
        <v>23</v>
      </c>
      <c r="G270" s="4" t="s">
        <v>705</v>
      </c>
      <c r="H270" s="4" t="s">
        <v>706</v>
      </c>
    </row>
    <row r="271" spans="1:8" ht="15.5" x14ac:dyDescent="0.35">
      <c r="A271" s="4" t="s">
        <v>697</v>
      </c>
      <c r="B271" s="4">
        <v>1999</v>
      </c>
      <c r="C271" s="4"/>
      <c r="D271" s="9">
        <v>90</v>
      </c>
      <c r="E271" s="10" t="s">
        <v>470</v>
      </c>
      <c r="F271" s="4">
        <v>23</v>
      </c>
      <c r="G271" s="4" t="s">
        <v>707</v>
      </c>
      <c r="H271" s="4" t="s">
        <v>708</v>
      </c>
    </row>
    <row r="272" spans="1:8" ht="15.5" x14ac:dyDescent="0.35">
      <c r="A272" s="4" t="s">
        <v>697</v>
      </c>
      <c r="B272" s="4">
        <v>2000</v>
      </c>
      <c r="C272" s="4"/>
      <c r="D272" s="9">
        <v>98</v>
      </c>
      <c r="E272" s="10" t="s">
        <v>709</v>
      </c>
      <c r="F272" s="4">
        <v>4</v>
      </c>
      <c r="G272" s="4" t="s">
        <v>710</v>
      </c>
      <c r="H272" s="4" t="s">
        <v>711</v>
      </c>
    </row>
    <row r="273" spans="1:8" ht="15.5" x14ac:dyDescent="0.35">
      <c r="A273" s="4" t="s">
        <v>697</v>
      </c>
      <c r="B273" s="4">
        <v>2001</v>
      </c>
      <c r="C273" s="4"/>
      <c r="D273" s="9">
        <v>198</v>
      </c>
      <c r="E273" s="10" t="s">
        <v>712</v>
      </c>
      <c r="F273" s="4">
        <v>20</v>
      </c>
      <c r="G273" s="4" t="s">
        <v>713</v>
      </c>
      <c r="H273" s="4" t="s">
        <v>714</v>
      </c>
    </row>
    <row r="274" spans="1:8" ht="15.5" x14ac:dyDescent="0.35">
      <c r="A274" s="4" t="s">
        <v>697</v>
      </c>
      <c r="B274" s="4">
        <v>2002</v>
      </c>
      <c r="C274" s="4"/>
      <c r="D274" s="9">
        <v>111</v>
      </c>
      <c r="E274" s="10" t="s">
        <v>436</v>
      </c>
      <c r="F274" s="4">
        <v>8</v>
      </c>
      <c r="G274" s="4" t="s">
        <v>715</v>
      </c>
      <c r="H274" s="4" t="s">
        <v>716</v>
      </c>
    </row>
    <row r="275" spans="1:8" ht="15.5" x14ac:dyDescent="0.35">
      <c r="A275" s="4" t="s">
        <v>697</v>
      </c>
      <c r="B275" s="4">
        <v>2003</v>
      </c>
      <c r="C275" s="4"/>
      <c r="D275" s="9">
        <v>14</v>
      </c>
      <c r="E275" s="10" t="s">
        <v>36</v>
      </c>
      <c r="F275" s="4">
        <v>23</v>
      </c>
      <c r="G275" s="4" t="s">
        <v>717</v>
      </c>
      <c r="H275" s="4" t="s">
        <v>718</v>
      </c>
    </row>
    <row r="276" spans="1:8" ht="15.5" x14ac:dyDescent="0.35">
      <c r="A276" s="4" t="s">
        <v>697</v>
      </c>
      <c r="B276" s="4">
        <v>2009</v>
      </c>
      <c r="C276" s="4" t="s">
        <v>9</v>
      </c>
      <c r="D276" s="9">
        <v>129</v>
      </c>
      <c r="E276" s="10" t="s">
        <v>372</v>
      </c>
      <c r="F276" s="4">
        <v>15</v>
      </c>
      <c r="G276" s="4" t="s">
        <v>719</v>
      </c>
      <c r="H276" s="4" t="s">
        <v>720</v>
      </c>
    </row>
    <row r="277" spans="1:8" ht="15.5" x14ac:dyDescent="0.35">
      <c r="A277" s="4" t="s">
        <v>697</v>
      </c>
      <c r="B277" s="4">
        <v>2011</v>
      </c>
      <c r="C277" s="4" t="s">
        <v>9</v>
      </c>
      <c r="D277" s="9">
        <v>44</v>
      </c>
      <c r="E277" s="10" t="s">
        <v>260</v>
      </c>
      <c r="F277" s="4">
        <v>8</v>
      </c>
      <c r="G277" s="4" t="s">
        <v>721</v>
      </c>
      <c r="H277" s="4" t="s">
        <v>722</v>
      </c>
    </row>
    <row r="278" spans="1:8" ht="15.5" x14ac:dyDescent="0.35">
      <c r="A278" s="4" t="s">
        <v>697</v>
      </c>
      <c r="B278" s="4">
        <v>2012</v>
      </c>
      <c r="C278" s="4" t="s">
        <v>9</v>
      </c>
      <c r="D278" s="9">
        <v>120</v>
      </c>
      <c r="E278" s="10" t="s">
        <v>197</v>
      </c>
      <c r="F278" s="4">
        <v>11</v>
      </c>
      <c r="G278" s="4" t="s">
        <v>723</v>
      </c>
      <c r="H278" s="4" t="s">
        <v>724</v>
      </c>
    </row>
    <row r="279" spans="1:8" ht="15.5" x14ac:dyDescent="0.35">
      <c r="A279" s="4" t="s">
        <v>697</v>
      </c>
      <c r="B279" s="4">
        <v>2013</v>
      </c>
      <c r="C279" s="4" t="s">
        <v>9</v>
      </c>
      <c r="D279" s="9">
        <v>19</v>
      </c>
      <c r="E279" s="10" t="s">
        <v>81</v>
      </c>
      <c r="F279" s="4">
        <v>7</v>
      </c>
      <c r="G279" s="4" t="s">
        <v>725</v>
      </c>
      <c r="H279" s="4" t="s">
        <v>726</v>
      </c>
    </row>
    <row r="280" spans="1:8" ht="15.5" x14ac:dyDescent="0.35">
      <c r="A280" s="4" t="s">
        <v>697</v>
      </c>
      <c r="B280" s="4">
        <v>2015</v>
      </c>
      <c r="C280" s="4" t="s">
        <v>9</v>
      </c>
      <c r="D280" s="9">
        <v>106</v>
      </c>
      <c r="E280" s="10" t="s">
        <v>727</v>
      </c>
      <c r="F280" s="4">
        <v>4</v>
      </c>
      <c r="G280" s="4" t="s">
        <v>728</v>
      </c>
      <c r="H280" s="4" t="s">
        <v>729</v>
      </c>
    </row>
    <row r="281" spans="1:8" ht="15.5" x14ac:dyDescent="0.35">
      <c r="A281" s="4" t="s">
        <v>697</v>
      </c>
      <c r="B281" s="4">
        <v>2018</v>
      </c>
      <c r="C281" s="4" t="s">
        <v>9</v>
      </c>
      <c r="D281" s="9">
        <v>245</v>
      </c>
      <c r="E281" s="10" t="s">
        <v>249</v>
      </c>
      <c r="F281" s="4">
        <v>6</v>
      </c>
      <c r="G281" s="4" t="s">
        <v>730</v>
      </c>
      <c r="H281" s="4" t="s">
        <v>731</v>
      </c>
    </row>
    <row r="282" spans="1:8" ht="15.5" x14ac:dyDescent="0.35">
      <c r="A282" s="4" t="s">
        <v>697</v>
      </c>
      <c r="B282" s="4">
        <v>2019</v>
      </c>
      <c r="C282" s="4" t="s">
        <v>9</v>
      </c>
      <c r="D282" s="9">
        <v>76</v>
      </c>
      <c r="E282" s="10" t="s">
        <v>81</v>
      </c>
      <c r="F282" s="4">
        <v>18</v>
      </c>
      <c r="G282" s="4" t="s">
        <v>732</v>
      </c>
      <c r="H282" s="4" t="s">
        <v>733</v>
      </c>
    </row>
    <row r="283" spans="1:8" ht="15.5" x14ac:dyDescent="0.35">
      <c r="A283" s="4" t="s">
        <v>697</v>
      </c>
      <c r="B283" s="4">
        <v>2022</v>
      </c>
      <c r="C283" s="4" t="s">
        <v>9</v>
      </c>
      <c r="D283" s="9">
        <v>141</v>
      </c>
      <c r="E283" s="10" t="s">
        <v>678</v>
      </c>
      <c r="F283" s="4">
        <v>25</v>
      </c>
      <c r="G283" s="4" t="s">
        <v>734</v>
      </c>
      <c r="H283" s="4" t="s">
        <v>735</v>
      </c>
    </row>
    <row r="284" spans="1:8" ht="15.5" x14ac:dyDescent="0.35">
      <c r="A284" s="4" t="s">
        <v>736</v>
      </c>
      <c r="B284" s="4">
        <v>1961</v>
      </c>
      <c r="C284" s="4"/>
      <c r="D284" s="9">
        <v>6</v>
      </c>
      <c r="E284" s="10" t="s">
        <v>285</v>
      </c>
      <c r="F284" s="4">
        <v>4</v>
      </c>
      <c r="G284" s="4" t="s">
        <v>737</v>
      </c>
      <c r="H284" s="4" t="s">
        <v>738</v>
      </c>
    </row>
    <row r="285" spans="1:8" ht="15.5" x14ac:dyDescent="0.35">
      <c r="A285" s="4" t="s">
        <v>736</v>
      </c>
      <c r="B285" s="4">
        <v>1962</v>
      </c>
      <c r="C285" s="4"/>
      <c r="D285" s="9">
        <v>4</v>
      </c>
      <c r="E285" s="10" t="s">
        <v>108</v>
      </c>
      <c r="F285" s="4">
        <v>1</v>
      </c>
      <c r="G285" s="4" t="s">
        <v>739</v>
      </c>
      <c r="H285" s="4" t="s">
        <v>740</v>
      </c>
    </row>
    <row r="286" spans="1:8" ht="15.5" x14ac:dyDescent="0.35">
      <c r="A286" s="4" t="s">
        <v>736</v>
      </c>
      <c r="B286" s="4">
        <v>1963</v>
      </c>
      <c r="C286" s="4"/>
      <c r="D286" s="9">
        <v>0</v>
      </c>
      <c r="E286" s="10" t="s">
        <v>105</v>
      </c>
      <c r="F286" s="4">
        <v>7</v>
      </c>
      <c r="G286" s="4" t="s">
        <v>741</v>
      </c>
      <c r="H286" s="4" t="s">
        <v>742</v>
      </c>
    </row>
    <row r="287" spans="1:8" ht="15.5" x14ac:dyDescent="0.35">
      <c r="A287" s="4" t="s">
        <v>736</v>
      </c>
      <c r="B287" s="4">
        <v>1964</v>
      </c>
      <c r="C287" s="4"/>
      <c r="D287" s="9">
        <v>9</v>
      </c>
      <c r="E287" s="10" t="s">
        <v>108</v>
      </c>
      <c r="F287" s="4">
        <v>5</v>
      </c>
      <c r="G287" s="4" t="s">
        <v>743</v>
      </c>
      <c r="H287" s="4" t="s">
        <v>744</v>
      </c>
    </row>
    <row r="288" spans="1:8" ht="15.5" x14ac:dyDescent="0.35">
      <c r="A288" s="4" t="s">
        <v>736</v>
      </c>
      <c r="B288" s="4">
        <v>1965</v>
      </c>
      <c r="C288" s="4"/>
      <c r="D288" s="9">
        <v>0</v>
      </c>
      <c r="E288" s="10" t="s">
        <v>290</v>
      </c>
      <c r="F288" s="4">
        <v>16</v>
      </c>
      <c r="G288" s="4" t="s">
        <v>745</v>
      </c>
      <c r="H288" s="4" t="s">
        <v>746</v>
      </c>
    </row>
    <row r="289" spans="1:8" ht="15.5" x14ac:dyDescent="0.35">
      <c r="A289" s="4" t="s">
        <v>736</v>
      </c>
      <c r="B289" s="4">
        <v>1966</v>
      </c>
      <c r="C289" s="4"/>
      <c r="D289" s="9">
        <v>7</v>
      </c>
      <c r="E289" s="10" t="s">
        <v>747</v>
      </c>
      <c r="F289" s="4">
        <v>7</v>
      </c>
      <c r="G289" s="4" t="s">
        <v>748</v>
      </c>
      <c r="H289" s="4" t="s">
        <v>749</v>
      </c>
    </row>
    <row r="290" spans="1:8" ht="15.5" x14ac:dyDescent="0.35">
      <c r="A290" s="4" t="s">
        <v>736</v>
      </c>
      <c r="B290" s="4">
        <v>1967</v>
      </c>
      <c r="C290" s="4"/>
      <c r="D290" s="9">
        <v>3</v>
      </c>
      <c r="E290" s="10" t="s">
        <v>750</v>
      </c>
      <c r="F290" s="4">
        <v>8</v>
      </c>
      <c r="G290" s="4" t="s">
        <v>751</v>
      </c>
      <c r="H290" s="4" t="s">
        <v>752</v>
      </c>
    </row>
    <row r="291" spans="1:8" ht="15.5" x14ac:dyDescent="0.35">
      <c r="A291" s="4" t="s">
        <v>736</v>
      </c>
      <c r="B291" s="4">
        <v>1968</v>
      </c>
      <c r="C291" s="4"/>
      <c r="D291" s="9">
        <v>1</v>
      </c>
      <c r="E291" s="10" t="s">
        <v>753</v>
      </c>
      <c r="F291" s="4">
        <v>9</v>
      </c>
      <c r="G291" s="4" t="s">
        <v>754</v>
      </c>
      <c r="H291" s="4" t="s">
        <v>755</v>
      </c>
    </row>
    <row r="292" spans="1:8" ht="15.5" x14ac:dyDescent="0.35">
      <c r="A292" s="4" t="s">
        <v>736</v>
      </c>
      <c r="B292" s="4">
        <v>1969</v>
      </c>
      <c r="C292" s="4"/>
      <c r="D292" s="9">
        <v>6</v>
      </c>
      <c r="E292" s="10" t="s">
        <v>756</v>
      </c>
      <c r="F292" s="4">
        <v>16</v>
      </c>
      <c r="G292" s="4" t="s">
        <v>757</v>
      </c>
      <c r="H292" s="4" t="s">
        <v>758</v>
      </c>
    </row>
    <row r="293" spans="1:8" ht="15.5" x14ac:dyDescent="0.35">
      <c r="A293" s="4" t="s">
        <v>736</v>
      </c>
      <c r="B293" s="4">
        <v>1971</v>
      </c>
      <c r="C293" s="4"/>
      <c r="D293" s="9">
        <v>84</v>
      </c>
      <c r="E293" s="10" t="s">
        <v>318</v>
      </c>
      <c r="F293" s="4">
        <v>17</v>
      </c>
      <c r="G293" s="4" t="s">
        <v>759</v>
      </c>
      <c r="H293" s="4" t="s">
        <v>760</v>
      </c>
    </row>
    <row r="294" spans="1:8" ht="15.5" x14ac:dyDescent="0.35">
      <c r="A294" s="4" t="s">
        <v>736</v>
      </c>
      <c r="B294" s="4">
        <v>1972</v>
      </c>
      <c r="C294" s="4"/>
      <c r="D294" s="9">
        <v>78</v>
      </c>
      <c r="E294" s="10" t="s">
        <v>761</v>
      </c>
      <c r="F294" s="4">
        <v>10</v>
      </c>
      <c r="G294" s="4" t="s">
        <v>762</v>
      </c>
      <c r="H294" s="4" t="s">
        <v>763</v>
      </c>
    </row>
    <row r="295" spans="1:8" ht="15.5" x14ac:dyDescent="0.35">
      <c r="A295" s="4" t="s">
        <v>736</v>
      </c>
      <c r="B295" s="4">
        <v>1973</v>
      </c>
      <c r="C295" s="4"/>
      <c r="D295" s="9">
        <v>93</v>
      </c>
      <c r="E295" s="10" t="s">
        <v>764</v>
      </c>
      <c r="F295" s="4">
        <v>1</v>
      </c>
      <c r="G295" s="4" t="s">
        <v>739</v>
      </c>
      <c r="H295" s="4" t="s">
        <v>765</v>
      </c>
    </row>
    <row r="296" spans="1:8" ht="15.5" x14ac:dyDescent="0.35">
      <c r="A296" s="4" t="s">
        <v>736</v>
      </c>
      <c r="B296" s="4">
        <v>1974</v>
      </c>
      <c r="C296" s="4"/>
      <c r="D296" s="9">
        <v>4</v>
      </c>
      <c r="E296" s="10" t="s">
        <v>121</v>
      </c>
      <c r="F296" s="4">
        <v>1</v>
      </c>
      <c r="G296" s="4" t="s">
        <v>766</v>
      </c>
      <c r="H296" s="4" t="s">
        <v>767</v>
      </c>
    </row>
    <row r="297" spans="1:8" ht="15.5" x14ac:dyDescent="0.35">
      <c r="A297" s="4" t="s">
        <v>736</v>
      </c>
      <c r="B297" s="4">
        <v>1975</v>
      </c>
      <c r="C297" s="4"/>
      <c r="D297" s="9">
        <v>74</v>
      </c>
      <c r="E297" s="10" t="s">
        <v>768</v>
      </c>
      <c r="F297" s="4">
        <v>15</v>
      </c>
      <c r="G297" s="4" t="s">
        <v>769</v>
      </c>
      <c r="H297" s="4" t="s">
        <v>770</v>
      </c>
    </row>
    <row r="298" spans="1:8" ht="15.5" x14ac:dyDescent="0.35">
      <c r="A298" s="4" t="s">
        <v>736</v>
      </c>
      <c r="B298" s="4">
        <v>1976</v>
      </c>
      <c r="C298" s="4"/>
      <c r="D298" s="9">
        <v>44</v>
      </c>
      <c r="E298" s="10" t="s">
        <v>771</v>
      </c>
      <c r="F298" s="4">
        <v>11</v>
      </c>
      <c r="G298" s="4" t="s">
        <v>772</v>
      </c>
      <c r="H298" s="4" t="s">
        <v>773</v>
      </c>
    </row>
    <row r="299" spans="1:8" ht="15.5" x14ac:dyDescent="0.35">
      <c r="A299" s="4" t="s">
        <v>736</v>
      </c>
      <c r="B299" s="4">
        <v>1977</v>
      </c>
      <c r="C299" s="4"/>
      <c r="D299" s="9">
        <v>50</v>
      </c>
      <c r="E299" s="10" t="s">
        <v>747</v>
      </c>
      <c r="F299" s="4">
        <v>16</v>
      </c>
      <c r="G299" s="4" t="s">
        <v>774</v>
      </c>
      <c r="H299" s="4" t="s">
        <v>775</v>
      </c>
    </row>
    <row r="300" spans="1:8" ht="15.5" x14ac:dyDescent="0.35">
      <c r="A300" s="4" t="s">
        <v>736</v>
      </c>
      <c r="B300" s="4">
        <v>1978</v>
      </c>
      <c r="C300" s="4"/>
      <c r="D300" s="9">
        <v>2</v>
      </c>
      <c r="E300" s="10" t="s">
        <v>158</v>
      </c>
      <c r="F300" s="4">
        <v>4</v>
      </c>
      <c r="G300" s="4" t="s">
        <v>776</v>
      </c>
      <c r="H300" s="4" t="s">
        <v>777</v>
      </c>
    </row>
    <row r="301" spans="1:8" ht="15.5" x14ac:dyDescent="0.35">
      <c r="A301" s="4" t="s">
        <v>736</v>
      </c>
      <c r="B301" s="4">
        <v>1979</v>
      </c>
      <c r="C301" s="4"/>
      <c r="D301" s="9">
        <v>38</v>
      </c>
      <c r="E301" s="10" t="s">
        <v>623</v>
      </c>
      <c r="F301" s="4">
        <v>5</v>
      </c>
      <c r="G301" s="4" t="s">
        <v>778</v>
      </c>
      <c r="H301" s="4" t="s">
        <v>779</v>
      </c>
    </row>
    <row r="302" spans="1:8" ht="15.5" x14ac:dyDescent="0.35">
      <c r="A302" s="4" t="s">
        <v>736</v>
      </c>
      <c r="B302" s="4">
        <v>1980</v>
      </c>
      <c r="C302" s="4"/>
      <c r="D302" s="9">
        <v>6</v>
      </c>
      <c r="E302" s="10" t="s">
        <v>153</v>
      </c>
      <c r="F302" s="4">
        <v>10</v>
      </c>
      <c r="G302" s="4" t="s">
        <v>780</v>
      </c>
      <c r="H302" s="4" t="s">
        <v>781</v>
      </c>
    </row>
    <row r="303" spans="1:8" ht="15.5" x14ac:dyDescent="0.35">
      <c r="A303" s="4" t="s">
        <v>736</v>
      </c>
      <c r="B303" s="4">
        <v>1981</v>
      </c>
      <c r="C303" s="4"/>
      <c r="D303" s="9">
        <v>27</v>
      </c>
      <c r="E303" s="10" t="s">
        <v>513</v>
      </c>
      <c r="F303" s="4">
        <v>8</v>
      </c>
      <c r="G303" s="4" t="s">
        <v>782</v>
      </c>
      <c r="H303" s="4" t="s">
        <v>783</v>
      </c>
    </row>
    <row r="304" spans="1:8" ht="15.5" x14ac:dyDescent="0.35">
      <c r="A304" s="4" t="s">
        <v>736</v>
      </c>
      <c r="B304" s="4">
        <v>1982</v>
      </c>
      <c r="C304" s="4"/>
      <c r="D304" s="9">
        <v>0</v>
      </c>
      <c r="E304" s="10" t="s">
        <v>784</v>
      </c>
      <c r="F304" s="4">
        <v>6</v>
      </c>
      <c r="G304" s="4" t="s">
        <v>785</v>
      </c>
      <c r="H304" s="4" t="s">
        <v>786</v>
      </c>
    </row>
    <row r="305" spans="1:8" ht="15.5" x14ac:dyDescent="0.35">
      <c r="A305" s="4" t="s">
        <v>736</v>
      </c>
      <c r="B305" s="4">
        <v>1983</v>
      </c>
      <c r="C305" s="4"/>
      <c r="D305" s="9">
        <v>41</v>
      </c>
      <c r="E305" s="10" t="s">
        <v>626</v>
      </c>
      <c r="F305" s="4">
        <v>9</v>
      </c>
      <c r="G305" s="4" t="s">
        <v>787</v>
      </c>
      <c r="H305" s="4" t="s">
        <v>788</v>
      </c>
    </row>
    <row r="306" spans="1:8" ht="15.5" x14ac:dyDescent="0.35">
      <c r="A306" s="4" t="s">
        <v>736</v>
      </c>
      <c r="B306" s="4">
        <v>1984</v>
      </c>
      <c r="C306" s="4"/>
      <c r="D306" s="9">
        <v>46</v>
      </c>
      <c r="E306" s="10" t="s">
        <v>789</v>
      </c>
      <c r="F306" s="4">
        <v>16</v>
      </c>
      <c r="G306" s="4" t="s">
        <v>790</v>
      </c>
      <c r="H306" s="4" t="s">
        <v>791</v>
      </c>
    </row>
    <row r="307" spans="1:8" ht="15.5" x14ac:dyDescent="0.35">
      <c r="A307" s="4" t="s">
        <v>736</v>
      </c>
      <c r="B307" s="4">
        <v>1985</v>
      </c>
      <c r="C307" s="4"/>
      <c r="D307" s="9">
        <v>58</v>
      </c>
      <c r="E307" s="10" t="s">
        <v>789</v>
      </c>
      <c r="F307" s="4">
        <v>2</v>
      </c>
      <c r="G307" s="4" t="s">
        <v>792</v>
      </c>
      <c r="H307" s="4" t="s">
        <v>793</v>
      </c>
    </row>
    <row r="308" spans="1:8" ht="15.5" x14ac:dyDescent="0.35">
      <c r="A308" s="4" t="s">
        <v>736</v>
      </c>
      <c r="B308" s="4">
        <v>1986</v>
      </c>
      <c r="C308" s="4"/>
      <c r="D308" s="9">
        <v>22</v>
      </c>
      <c r="E308" s="10" t="s">
        <v>135</v>
      </c>
      <c r="F308" s="4">
        <v>19</v>
      </c>
      <c r="G308" s="4" t="s">
        <v>794</v>
      </c>
      <c r="H308" s="4" t="s">
        <v>795</v>
      </c>
    </row>
    <row r="309" spans="1:8" ht="15.5" x14ac:dyDescent="0.35">
      <c r="A309" s="4" t="s">
        <v>736</v>
      </c>
      <c r="B309" s="4">
        <v>1987</v>
      </c>
      <c r="C309" s="4"/>
      <c r="D309" s="9">
        <v>32</v>
      </c>
      <c r="E309" s="10" t="s">
        <v>796</v>
      </c>
      <c r="F309" s="4">
        <v>18</v>
      </c>
      <c r="G309" s="4" t="s">
        <v>797</v>
      </c>
      <c r="H309" s="4" t="s">
        <v>798</v>
      </c>
    </row>
    <row r="310" spans="1:8" ht="15.5" x14ac:dyDescent="0.35">
      <c r="A310" s="4" t="s">
        <v>736</v>
      </c>
      <c r="B310" s="4">
        <v>1988</v>
      </c>
      <c r="C310" s="4"/>
      <c r="D310" s="9">
        <v>3</v>
      </c>
      <c r="E310" s="10" t="s">
        <v>799</v>
      </c>
      <c r="F310" s="4">
        <v>3</v>
      </c>
      <c r="G310" s="4" t="s">
        <v>800</v>
      </c>
      <c r="H310" s="4" t="s">
        <v>801</v>
      </c>
    </row>
    <row r="311" spans="1:8" ht="15.5" x14ac:dyDescent="0.35">
      <c r="A311" s="4" t="s">
        <v>736</v>
      </c>
      <c r="B311" s="4">
        <v>1989</v>
      </c>
      <c r="C311" s="4"/>
      <c r="D311" s="9">
        <v>76</v>
      </c>
      <c r="E311" s="10" t="s">
        <v>524</v>
      </c>
      <c r="F311" s="4">
        <v>14</v>
      </c>
      <c r="G311" s="4" t="s">
        <v>802</v>
      </c>
      <c r="H311" s="4" t="s">
        <v>803</v>
      </c>
    </row>
    <row r="312" spans="1:8" ht="15.5" x14ac:dyDescent="0.35">
      <c r="A312" s="4" t="s">
        <v>736</v>
      </c>
      <c r="B312" s="4">
        <v>1990</v>
      </c>
      <c r="C312" s="4"/>
      <c r="D312" s="9">
        <v>8</v>
      </c>
      <c r="E312" s="10" t="s">
        <v>804</v>
      </c>
      <c r="F312" s="4">
        <v>22</v>
      </c>
      <c r="G312" s="4" t="s">
        <v>805</v>
      </c>
      <c r="H312" s="4" t="s">
        <v>806</v>
      </c>
    </row>
    <row r="313" spans="1:8" ht="15.5" x14ac:dyDescent="0.35">
      <c r="A313" s="4" t="s">
        <v>736</v>
      </c>
      <c r="B313" s="4">
        <v>1991</v>
      </c>
      <c r="C313" s="4"/>
      <c r="D313" s="9">
        <v>6</v>
      </c>
      <c r="E313" s="10" t="s">
        <v>161</v>
      </c>
      <c r="F313" s="4">
        <v>16</v>
      </c>
      <c r="G313" s="4" t="s">
        <v>807</v>
      </c>
      <c r="H313" s="4" t="s">
        <v>808</v>
      </c>
    </row>
    <row r="314" spans="1:8" ht="15.5" x14ac:dyDescent="0.35">
      <c r="A314" s="4" t="s">
        <v>736</v>
      </c>
      <c r="B314" s="4">
        <v>1992</v>
      </c>
      <c r="C314" s="4"/>
      <c r="D314" s="9">
        <v>4</v>
      </c>
      <c r="E314" s="10" t="s">
        <v>809</v>
      </c>
      <c r="F314" s="4">
        <v>12</v>
      </c>
      <c r="G314" s="4" t="s">
        <v>810</v>
      </c>
      <c r="H314" s="4" t="s">
        <v>811</v>
      </c>
    </row>
    <row r="315" spans="1:8" ht="15.5" x14ac:dyDescent="0.35">
      <c r="A315" s="4" t="s">
        <v>736</v>
      </c>
      <c r="B315" s="4">
        <v>1993</v>
      </c>
      <c r="C315" s="4"/>
      <c r="D315" s="9">
        <v>20</v>
      </c>
      <c r="E315" s="10" t="s">
        <v>16</v>
      </c>
      <c r="F315" s="4">
        <v>17</v>
      </c>
      <c r="G315" s="4" t="s">
        <v>778</v>
      </c>
      <c r="H315" s="4" t="s">
        <v>812</v>
      </c>
    </row>
    <row r="316" spans="1:8" ht="15.5" x14ac:dyDescent="0.35">
      <c r="A316" s="4" t="s">
        <v>736</v>
      </c>
      <c r="B316" s="4">
        <v>1994</v>
      </c>
      <c r="C316" s="4"/>
      <c r="D316" s="9">
        <v>11</v>
      </c>
      <c r="E316" s="10" t="s">
        <v>588</v>
      </c>
      <c r="F316" s="4">
        <v>2</v>
      </c>
      <c r="G316" s="4" t="s">
        <v>813</v>
      </c>
      <c r="H316" s="4" t="s">
        <v>814</v>
      </c>
    </row>
    <row r="317" spans="1:8" ht="15.5" x14ac:dyDescent="0.35">
      <c r="A317" s="4" t="s">
        <v>736</v>
      </c>
      <c r="B317" s="4">
        <v>1996</v>
      </c>
      <c r="C317" s="4"/>
      <c r="D317" s="9">
        <v>9</v>
      </c>
      <c r="E317" s="10" t="s">
        <v>809</v>
      </c>
      <c r="F317" s="4">
        <v>18</v>
      </c>
      <c r="G317" s="4" t="s">
        <v>815</v>
      </c>
      <c r="H317" s="4" t="s">
        <v>816</v>
      </c>
    </row>
    <row r="318" spans="1:8" ht="15.5" x14ac:dyDescent="0.35">
      <c r="A318" s="4" t="s">
        <v>736</v>
      </c>
      <c r="B318" s="4">
        <v>1998</v>
      </c>
      <c r="C318" s="4"/>
      <c r="D318" s="9">
        <v>22</v>
      </c>
      <c r="E318" s="10" t="s">
        <v>86</v>
      </c>
      <c r="F318" s="4">
        <v>21</v>
      </c>
      <c r="G318" s="4" t="s">
        <v>817</v>
      </c>
      <c r="H318" s="4" t="s">
        <v>818</v>
      </c>
    </row>
    <row r="319" spans="1:8" ht="15.5" x14ac:dyDescent="0.35">
      <c r="A319" s="4" t="s">
        <v>736</v>
      </c>
      <c r="B319" s="4">
        <v>2000</v>
      </c>
      <c r="C319" s="4"/>
      <c r="D319" s="9">
        <v>18</v>
      </c>
      <c r="E319" s="10" t="s">
        <v>194</v>
      </c>
      <c r="F319" s="4">
        <v>20</v>
      </c>
      <c r="G319" s="4" t="s">
        <v>819</v>
      </c>
      <c r="H319" s="4" t="s">
        <v>820</v>
      </c>
    </row>
    <row r="320" spans="1:8" ht="15.5" x14ac:dyDescent="0.35">
      <c r="A320" s="4" t="s">
        <v>736</v>
      </c>
      <c r="B320" s="4">
        <v>2002</v>
      </c>
      <c r="C320" s="4"/>
      <c r="D320" s="9">
        <v>24</v>
      </c>
      <c r="E320" s="10" t="s">
        <v>821</v>
      </c>
      <c r="F320" s="4">
        <v>13</v>
      </c>
      <c r="G320" s="4" t="s">
        <v>822</v>
      </c>
      <c r="H320" s="4" t="s">
        <v>823</v>
      </c>
    </row>
    <row r="321" spans="1:8" ht="15.5" x14ac:dyDescent="0.35">
      <c r="A321" s="4" t="s">
        <v>736</v>
      </c>
      <c r="B321" s="4">
        <v>2006</v>
      </c>
      <c r="C321" s="4" t="s">
        <v>9</v>
      </c>
      <c r="D321" s="9">
        <v>292</v>
      </c>
      <c r="E321" s="10" t="s">
        <v>664</v>
      </c>
      <c r="F321" s="4">
        <v>17</v>
      </c>
      <c r="G321" s="4" t="s">
        <v>824</v>
      </c>
      <c r="H321" s="4" t="s">
        <v>825</v>
      </c>
    </row>
    <row r="322" spans="1:8" ht="15.5" x14ac:dyDescent="0.35">
      <c r="A322" s="4" t="s">
        <v>736</v>
      </c>
      <c r="B322" s="4">
        <v>2007</v>
      </c>
      <c r="C322" s="4" t="s">
        <v>9</v>
      </c>
      <c r="D322" s="9">
        <v>53</v>
      </c>
      <c r="E322" s="10" t="s">
        <v>826</v>
      </c>
      <c r="F322" s="4">
        <v>5</v>
      </c>
      <c r="G322" s="4" t="s">
        <v>827</v>
      </c>
      <c r="H322" s="4" t="s">
        <v>828</v>
      </c>
    </row>
    <row r="323" spans="1:8" ht="15.5" x14ac:dyDescent="0.35">
      <c r="A323" s="4" t="s">
        <v>736</v>
      </c>
      <c r="B323" s="4">
        <v>2008</v>
      </c>
      <c r="C323" s="4" t="s">
        <v>9</v>
      </c>
      <c r="D323" s="9">
        <v>35</v>
      </c>
      <c r="E323" s="10" t="s">
        <v>588</v>
      </c>
      <c r="F323" s="4">
        <v>8</v>
      </c>
      <c r="G323" s="4" t="s">
        <v>829</v>
      </c>
      <c r="H323" s="4" t="s">
        <v>830</v>
      </c>
    </row>
    <row r="324" spans="1:8" ht="15.5" x14ac:dyDescent="0.35">
      <c r="A324" s="4" t="s">
        <v>736</v>
      </c>
      <c r="B324" s="4">
        <v>2009</v>
      </c>
      <c r="C324" s="4" t="s">
        <v>9</v>
      </c>
      <c r="D324" s="9">
        <v>22</v>
      </c>
      <c r="E324" s="10" t="s">
        <v>364</v>
      </c>
      <c r="F324" s="4">
        <v>24</v>
      </c>
      <c r="G324" s="4" t="s">
        <v>831</v>
      </c>
      <c r="H324" s="4" t="s">
        <v>832</v>
      </c>
    </row>
    <row r="325" spans="1:8" ht="15.5" x14ac:dyDescent="0.35">
      <c r="A325" s="4" t="s">
        <v>736</v>
      </c>
      <c r="B325" s="4">
        <v>2011</v>
      </c>
      <c r="C325" s="4" t="s">
        <v>9</v>
      </c>
      <c r="D325" s="9">
        <v>57</v>
      </c>
      <c r="E325" s="10" t="s">
        <v>186</v>
      </c>
      <c r="F325" s="4">
        <v>1</v>
      </c>
      <c r="G325" s="4" t="s">
        <v>833</v>
      </c>
      <c r="H325" s="4" t="s">
        <v>834</v>
      </c>
    </row>
    <row r="326" spans="1:8" ht="15.5" x14ac:dyDescent="0.35">
      <c r="A326" s="4" t="s">
        <v>736</v>
      </c>
      <c r="B326" s="4">
        <v>2013</v>
      </c>
      <c r="C326" s="4" t="s">
        <v>9</v>
      </c>
      <c r="D326" s="9">
        <v>13</v>
      </c>
      <c r="E326" s="10" t="s">
        <v>269</v>
      </c>
      <c r="F326" s="4">
        <v>4</v>
      </c>
      <c r="G326" s="4" t="s">
        <v>835</v>
      </c>
      <c r="H326" s="4" t="s">
        <v>836</v>
      </c>
    </row>
    <row r="327" spans="1:8" ht="15.5" x14ac:dyDescent="0.35">
      <c r="A327" s="4" t="s">
        <v>736</v>
      </c>
      <c r="B327" s="4">
        <v>2014</v>
      </c>
      <c r="C327" s="4" t="s">
        <v>9</v>
      </c>
      <c r="D327" s="9">
        <v>72</v>
      </c>
      <c r="E327" s="10" t="s">
        <v>30</v>
      </c>
      <c r="F327" s="4">
        <v>18</v>
      </c>
      <c r="G327" s="4" t="s">
        <v>837</v>
      </c>
      <c r="H327" s="4" t="s">
        <v>838</v>
      </c>
    </row>
    <row r="328" spans="1:8" ht="15.5" x14ac:dyDescent="0.35">
      <c r="A328" s="4" t="s">
        <v>736</v>
      </c>
      <c r="B328" s="4">
        <v>2018</v>
      </c>
      <c r="C328" s="4" t="s">
        <v>9</v>
      </c>
      <c r="D328" s="9">
        <v>46</v>
      </c>
      <c r="E328" s="10" t="s">
        <v>581</v>
      </c>
      <c r="F328" s="4">
        <v>17</v>
      </c>
      <c r="G328" s="4" t="s">
        <v>839</v>
      </c>
      <c r="H328" s="4" t="s">
        <v>840</v>
      </c>
    </row>
    <row r="329" spans="1:8" ht="15.5" x14ac:dyDescent="0.35">
      <c r="A329" s="4" t="s">
        <v>736</v>
      </c>
      <c r="B329" s="4">
        <v>2021</v>
      </c>
      <c r="C329" s="4" t="s">
        <v>9</v>
      </c>
      <c r="D329" s="9">
        <v>301</v>
      </c>
      <c r="E329" s="10" t="s">
        <v>197</v>
      </c>
      <c r="F329" s="4">
        <v>16</v>
      </c>
      <c r="G329" s="4" t="s">
        <v>841</v>
      </c>
      <c r="H329" s="4" t="s">
        <v>842</v>
      </c>
    </row>
    <row r="330" spans="1:8" ht="15.5" x14ac:dyDescent="0.35">
      <c r="A330" s="4" t="s">
        <v>736</v>
      </c>
      <c r="B330" s="4">
        <v>2022</v>
      </c>
      <c r="C330" s="4" t="s">
        <v>9</v>
      </c>
      <c r="D330" s="9">
        <v>38</v>
      </c>
      <c r="E330" s="10" t="s">
        <v>186</v>
      </c>
      <c r="F330" s="4">
        <v>4</v>
      </c>
      <c r="G330" s="4" t="s">
        <v>843</v>
      </c>
      <c r="H330" s="4" t="s">
        <v>844</v>
      </c>
    </row>
    <row r="331" spans="1:8" ht="15.5" x14ac:dyDescent="0.35">
      <c r="A331" s="4" t="s">
        <v>845</v>
      </c>
      <c r="B331" s="4">
        <v>1957</v>
      </c>
      <c r="C331" s="4"/>
      <c r="D331" s="9">
        <v>17</v>
      </c>
      <c r="E331" s="10" t="s">
        <v>846</v>
      </c>
      <c r="F331" s="4">
        <v>8</v>
      </c>
      <c r="G331" s="4" t="s">
        <v>847</v>
      </c>
      <c r="H331" s="4" t="s">
        <v>848</v>
      </c>
    </row>
    <row r="332" spans="1:8" ht="15.5" x14ac:dyDescent="0.35">
      <c r="A332" s="4" t="s">
        <v>845</v>
      </c>
      <c r="B332" s="4">
        <v>1958</v>
      </c>
      <c r="C332" s="4"/>
      <c r="D332" s="9">
        <v>27</v>
      </c>
      <c r="E332" s="10" t="s">
        <v>849</v>
      </c>
      <c r="F332" s="4">
        <v>3</v>
      </c>
      <c r="G332" s="4" t="s">
        <v>850</v>
      </c>
      <c r="H332" s="4" t="s">
        <v>851</v>
      </c>
    </row>
    <row r="333" spans="1:8" ht="15.5" x14ac:dyDescent="0.35">
      <c r="A333" s="4" t="s">
        <v>845</v>
      </c>
      <c r="B333" s="4">
        <v>1959</v>
      </c>
      <c r="C333" s="4"/>
      <c r="D333" s="9">
        <v>15</v>
      </c>
      <c r="E333" s="10" t="s">
        <v>852</v>
      </c>
      <c r="F333" s="4">
        <v>1</v>
      </c>
      <c r="G333" s="4" t="s">
        <v>853</v>
      </c>
      <c r="H333" s="4" t="s">
        <v>854</v>
      </c>
    </row>
    <row r="334" spans="1:8" ht="15.5" x14ac:dyDescent="0.35">
      <c r="A334" s="4" t="s">
        <v>845</v>
      </c>
      <c r="B334" s="4">
        <v>1960</v>
      </c>
      <c r="C334" s="4"/>
      <c r="D334" s="9">
        <v>32</v>
      </c>
      <c r="E334" s="10" t="s">
        <v>855</v>
      </c>
      <c r="F334" s="4">
        <v>13</v>
      </c>
      <c r="G334" s="4" t="s">
        <v>856</v>
      </c>
      <c r="H334" s="4" t="s">
        <v>857</v>
      </c>
    </row>
    <row r="335" spans="1:8" ht="15.5" x14ac:dyDescent="0.35">
      <c r="A335" s="4" t="s">
        <v>845</v>
      </c>
      <c r="B335" s="4">
        <v>1961</v>
      </c>
      <c r="C335" s="4"/>
      <c r="D335" s="9">
        <v>13</v>
      </c>
      <c r="E335" s="10" t="s">
        <v>858</v>
      </c>
      <c r="F335" s="4">
        <v>9</v>
      </c>
      <c r="G335" s="4" t="s">
        <v>859</v>
      </c>
      <c r="H335" s="4" t="s">
        <v>860</v>
      </c>
    </row>
    <row r="336" spans="1:8" ht="15.5" x14ac:dyDescent="0.35">
      <c r="A336" s="4" t="s">
        <v>845</v>
      </c>
      <c r="B336" s="4">
        <v>1962</v>
      </c>
      <c r="C336" s="4"/>
      <c r="D336" s="9">
        <v>26</v>
      </c>
      <c r="E336" s="10" t="s">
        <v>608</v>
      </c>
      <c r="F336" s="4">
        <v>9</v>
      </c>
      <c r="G336" s="4" t="s">
        <v>861</v>
      </c>
      <c r="H336" s="4" t="s">
        <v>862</v>
      </c>
    </row>
    <row r="337" spans="1:8" ht="15.5" x14ac:dyDescent="0.35">
      <c r="A337" s="4" t="s">
        <v>845</v>
      </c>
      <c r="B337" s="4">
        <v>1963</v>
      </c>
      <c r="C337" s="4"/>
      <c r="D337" s="9">
        <v>25</v>
      </c>
      <c r="E337" s="10" t="s">
        <v>603</v>
      </c>
      <c r="F337" s="4">
        <v>11</v>
      </c>
      <c r="G337" s="4" t="s">
        <v>863</v>
      </c>
      <c r="H337" s="4" t="s">
        <v>864</v>
      </c>
    </row>
    <row r="338" spans="1:8" ht="15.5" x14ac:dyDescent="0.35">
      <c r="A338" s="4" t="s">
        <v>845</v>
      </c>
      <c r="B338" s="4">
        <v>1964</v>
      </c>
      <c r="C338" s="4"/>
      <c r="D338" s="9">
        <v>14</v>
      </c>
      <c r="E338" s="10" t="s">
        <v>858</v>
      </c>
      <c r="F338" s="4">
        <v>7</v>
      </c>
      <c r="G338" s="4" t="s">
        <v>865</v>
      </c>
      <c r="H338" s="4" t="s">
        <v>866</v>
      </c>
    </row>
    <row r="339" spans="1:8" ht="15.5" x14ac:dyDescent="0.35">
      <c r="A339" s="4" t="s">
        <v>845</v>
      </c>
      <c r="B339" s="4">
        <v>1965</v>
      </c>
      <c r="C339" s="4"/>
      <c r="D339" s="9">
        <v>22</v>
      </c>
      <c r="E339" s="10" t="s">
        <v>867</v>
      </c>
      <c r="F339" s="4">
        <v>11</v>
      </c>
      <c r="G339" s="4" t="s">
        <v>868</v>
      </c>
      <c r="H339" s="4" t="s">
        <v>869</v>
      </c>
    </row>
    <row r="340" spans="1:8" ht="15.5" x14ac:dyDescent="0.35">
      <c r="A340" s="4" t="s">
        <v>845</v>
      </c>
      <c r="B340" s="4">
        <v>1966</v>
      </c>
      <c r="C340" s="4"/>
      <c r="D340" s="9">
        <v>1</v>
      </c>
      <c r="E340" s="10" t="s">
        <v>124</v>
      </c>
      <c r="F340" s="4">
        <v>15</v>
      </c>
      <c r="G340" s="4" t="s">
        <v>870</v>
      </c>
      <c r="H340" s="4" t="s">
        <v>871</v>
      </c>
    </row>
    <row r="341" spans="1:8" ht="15.5" x14ac:dyDescent="0.35">
      <c r="A341" s="4" t="s">
        <v>845</v>
      </c>
      <c r="B341" s="4">
        <v>1967</v>
      </c>
      <c r="C341" s="4"/>
      <c r="D341" s="9">
        <v>20</v>
      </c>
      <c r="E341" s="10" t="s">
        <v>872</v>
      </c>
      <c r="F341" s="4">
        <v>4</v>
      </c>
      <c r="G341" s="4" t="s">
        <v>873</v>
      </c>
      <c r="H341" s="4" t="s">
        <v>874</v>
      </c>
    </row>
    <row r="342" spans="1:8" ht="15.5" x14ac:dyDescent="0.35">
      <c r="A342" s="4" t="s">
        <v>845</v>
      </c>
      <c r="B342" s="4">
        <v>1968</v>
      </c>
      <c r="C342" s="4"/>
      <c r="D342" s="9">
        <v>20</v>
      </c>
      <c r="E342" s="10" t="s">
        <v>872</v>
      </c>
      <c r="F342" s="4">
        <v>10</v>
      </c>
      <c r="G342" s="4" t="s">
        <v>861</v>
      </c>
      <c r="H342" s="4" t="s">
        <v>875</v>
      </c>
    </row>
    <row r="343" spans="1:8" ht="15.5" x14ac:dyDescent="0.35">
      <c r="A343" s="4" t="s">
        <v>845</v>
      </c>
      <c r="B343" s="4">
        <v>1969</v>
      </c>
      <c r="C343" s="4"/>
      <c r="D343" s="9">
        <v>18</v>
      </c>
      <c r="E343" s="10" t="s">
        <v>608</v>
      </c>
      <c r="F343" s="4">
        <v>14</v>
      </c>
      <c r="G343" s="4" t="s">
        <v>876</v>
      </c>
      <c r="H343" s="4" t="s">
        <v>877</v>
      </c>
    </row>
    <row r="344" spans="1:8" ht="15.5" x14ac:dyDescent="0.35">
      <c r="A344" s="4" t="s">
        <v>845</v>
      </c>
      <c r="B344" s="4">
        <v>1970</v>
      </c>
      <c r="C344" s="4"/>
      <c r="D344" s="9">
        <v>8</v>
      </c>
      <c r="E344" s="10" t="s">
        <v>878</v>
      </c>
      <c r="F344" s="4">
        <v>6</v>
      </c>
      <c r="G344" s="4" t="s">
        <v>879</v>
      </c>
      <c r="H344" s="4" t="s">
        <v>880</v>
      </c>
    </row>
    <row r="345" spans="1:8" ht="15.5" x14ac:dyDescent="0.35">
      <c r="A345" s="4" t="s">
        <v>845</v>
      </c>
      <c r="B345" s="4">
        <v>1971</v>
      </c>
      <c r="C345" s="4"/>
      <c r="D345" s="9">
        <v>82</v>
      </c>
      <c r="E345" s="10" t="s">
        <v>747</v>
      </c>
      <c r="F345" s="4">
        <v>7</v>
      </c>
      <c r="G345" s="4" t="s">
        <v>881</v>
      </c>
      <c r="H345" s="4" t="s">
        <v>882</v>
      </c>
    </row>
    <row r="346" spans="1:8" ht="15.5" x14ac:dyDescent="0.35">
      <c r="A346" s="4" t="s">
        <v>845</v>
      </c>
      <c r="B346" s="4">
        <v>1972</v>
      </c>
      <c r="C346" s="4"/>
      <c r="D346" s="9">
        <v>81</v>
      </c>
      <c r="E346" s="10" t="s">
        <v>771</v>
      </c>
      <c r="F346" s="4">
        <v>2</v>
      </c>
      <c r="G346" s="4" t="s">
        <v>883</v>
      </c>
      <c r="H346" s="4" t="s">
        <v>884</v>
      </c>
    </row>
    <row r="347" spans="1:8" ht="15.5" x14ac:dyDescent="0.35">
      <c r="A347" s="4" t="s">
        <v>845</v>
      </c>
      <c r="B347" s="4">
        <v>1973</v>
      </c>
      <c r="C347" s="4"/>
      <c r="D347" s="9">
        <v>65</v>
      </c>
      <c r="E347" s="10" t="s">
        <v>885</v>
      </c>
      <c r="F347" s="4">
        <v>16</v>
      </c>
      <c r="G347" s="4" t="s">
        <v>886</v>
      </c>
      <c r="H347" s="4" t="s">
        <v>887</v>
      </c>
    </row>
    <row r="348" spans="1:8" ht="15.5" x14ac:dyDescent="0.35">
      <c r="A348" s="4" t="s">
        <v>845</v>
      </c>
      <c r="B348" s="4">
        <v>1975</v>
      </c>
      <c r="C348" s="4"/>
      <c r="D348" s="9">
        <v>91</v>
      </c>
      <c r="E348" s="10" t="s">
        <v>633</v>
      </c>
      <c r="F348" s="4">
        <v>3</v>
      </c>
      <c r="G348" s="4" t="s">
        <v>888</v>
      </c>
      <c r="H348" s="4" t="s">
        <v>889</v>
      </c>
    </row>
    <row r="349" spans="1:8" ht="15.5" x14ac:dyDescent="0.35">
      <c r="A349" s="4" t="s">
        <v>845</v>
      </c>
      <c r="B349" s="4">
        <v>1976</v>
      </c>
      <c r="C349" s="4"/>
      <c r="D349" s="9">
        <v>147</v>
      </c>
      <c r="E349" s="10" t="s">
        <v>890</v>
      </c>
      <c r="F349" s="4">
        <v>17</v>
      </c>
      <c r="G349" s="4" t="s">
        <v>891</v>
      </c>
      <c r="H349" s="4" t="s">
        <v>892</v>
      </c>
    </row>
    <row r="350" spans="1:8" ht="15.5" x14ac:dyDescent="0.35">
      <c r="A350" s="4" t="s">
        <v>845</v>
      </c>
      <c r="B350" s="4">
        <v>1977</v>
      </c>
      <c r="C350" s="4"/>
      <c r="D350" s="9">
        <v>136</v>
      </c>
      <c r="E350" s="10" t="s">
        <v>116</v>
      </c>
      <c r="F350" s="4">
        <v>18</v>
      </c>
      <c r="G350" s="4" t="s">
        <v>893</v>
      </c>
      <c r="H350" s="4" t="s">
        <v>894</v>
      </c>
    </row>
    <row r="351" spans="1:8" ht="15.5" x14ac:dyDescent="0.35">
      <c r="A351" s="4" t="s">
        <v>845</v>
      </c>
      <c r="B351" s="4">
        <v>1978</v>
      </c>
      <c r="C351" s="4"/>
      <c r="D351" s="9">
        <v>119</v>
      </c>
      <c r="E351" s="10" t="s">
        <v>895</v>
      </c>
      <c r="F351" s="4">
        <v>6</v>
      </c>
      <c r="G351" s="4" t="s">
        <v>896</v>
      </c>
      <c r="H351" s="4" t="s">
        <v>897</v>
      </c>
    </row>
    <row r="352" spans="1:8" ht="15.5" x14ac:dyDescent="0.35">
      <c r="A352" s="4" t="s">
        <v>845</v>
      </c>
      <c r="B352" s="4">
        <v>1979</v>
      </c>
      <c r="C352" s="4"/>
      <c r="D352" s="9">
        <v>106</v>
      </c>
      <c r="E352" s="10" t="s">
        <v>898</v>
      </c>
      <c r="F352" s="4">
        <v>11</v>
      </c>
      <c r="G352" s="4" t="s">
        <v>899</v>
      </c>
      <c r="H352" s="4" t="s">
        <v>900</v>
      </c>
    </row>
    <row r="353" spans="1:8" ht="15.5" x14ac:dyDescent="0.35">
      <c r="A353" s="4" t="s">
        <v>845</v>
      </c>
      <c r="B353" s="4">
        <v>1980</v>
      </c>
      <c r="C353" s="4"/>
      <c r="D353" s="9">
        <v>45</v>
      </c>
      <c r="E353" s="10" t="s">
        <v>636</v>
      </c>
      <c r="F353" s="4">
        <v>16</v>
      </c>
      <c r="G353" s="4" t="s">
        <v>901</v>
      </c>
      <c r="H353" s="4" t="s">
        <v>902</v>
      </c>
    </row>
    <row r="354" spans="1:8" ht="15.5" x14ac:dyDescent="0.35">
      <c r="A354" s="4" t="s">
        <v>845</v>
      </c>
      <c r="B354" s="4">
        <v>1981</v>
      </c>
      <c r="C354" s="4"/>
      <c r="D354" s="9">
        <v>125</v>
      </c>
      <c r="E354" s="10" t="s">
        <v>895</v>
      </c>
      <c r="F354" s="4">
        <v>9</v>
      </c>
      <c r="G354" s="4" t="s">
        <v>903</v>
      </c>
      <c r="H354" s="4" t="s">
        <v>904</v>
      </c>
    </row>
    <row r="355" spans="1:8" ht="15.5" x14ac:dyDescent="0.35">
      <c r="A355" s="4" t="s">
        <v>845</v>
      </c>
      <c r="B355" s="4">
        <v>1983</v>
      </c>
      <c r="C355" s="4"/>
      <c r="D355" s="9">
        <v>56</v>
      </c>
      <c r="E355" s="10" t="s">
        <v>905</v>
      </c>
      <c r="F355" s="4">
        <v>1</v>
      </c>
      <c r="G355" s="4" t="s">
        <v>879</v>
      </c>
      <c r="H355" s="4" t="s">
        <v>906</v>
      </c>
    </row>
    <row r="356" spans="1:8" ht="15.5" x14ac:dyDescent="0.35">
      <c r="A356" s="4" t="s">
        <v>845</v>
      </c>
      <c r="B356" s="4">
        <v>1984</v>
      </c>
      <c r="C356" s="4"/>
      <c r="D356" s="9">
        <v>61</v>
      </c>
      <c r="E356" s="10" t="s">
        <v>141</v>
      </c>
      <c r="F356" s="4">
        <v>3</v>
      </c>
      <c r="G356" s="4" t="s">
        <v>907</v>
      </c>
      <c r="H356" s="4" t="s">
        <v>908</v>
      </c>
    </row>
    <row r="357" spans="1:8" ht="15.5" x14ac:dyDescent="0.35">
      <c r="A357" s="4" t="s">
        <v>845</v>
      </c>
      <c r="B357" s="4">
        <v>1985</v>
      </c>
      <c r="C357" s="4"/>
      <c r="D357" s="9">
        <v>56</v>
      </c>
      <c r="E357" s="10" t="s">
        <v>909</v>
      </c>
      <c r="F357" s="4">
        <v>6</v>
      </c>
      <c r="G357" s="4" t="s">
        <v>910</v>
      </c>
      <c r="H357" s="4" t="s">
        <v>911</v>
      </c>
    </row>
    <row r="358" spans="1:8" ht="15.5" x14ac:dyDescent="0.35">
      <c r="A358" s="4" t="s">
        <v>845</v>
      </c>
      <c r="B358" s="4">
        <v>1986</v>
      </c>
      <c r="C358" s="4"/>
      <c r="D358" s="9">
        <v>13</v>
      </c>
      <c r="E358" s="10" t="s">
        <v>144</v>
      </c>
      <c r="F358" s="4">
        <v>3</v>
      </c>
      <c r="G358" s="4" t="s">
        <v>912</v>
      </c>
      <c r="H358" s="4" t="s">
        <v>913</v>
      </c>
    </row>
    <row r="359" spans="1:8" ht="15.5" x14ac:dyDescent="0.35">
      <c r="A359" s="4" t="s">
        <v>845</v>
      </c>
      <c r="B359" s="4">
        <v>1987</v>
      </c>
      <c r="C359" s="4"/>
      <c r="D359" s="9">
        <v>44</v>
      </c>
      <c r="E359" s="10" t="s">
        <v>529</v>
      </c>
      <c r="F359" s="4">
        <v>15</v>
      </c>
      <c r="G359" s="4" t="s">
        <v>914</v>
      </c>
      <c r="H359" s="4" t="s">
        <v>915</v>
      </c>
    </row>
    <row r="360" spans="1:8" ht="15.5" x14ac:dyDescent="0.35">
      <c r="A360" s="4" t="s">
        <v>845</v>
      </c>
      <c r="B360" s="4">
        <v>1988</v>
      </c>
      <c r="C360" s="4"/>
      <c r="D360" s="9">
        <v>64</v>
      </c>
      <c r="E360" s="10" t="s">
        <v>916</v>
      </c>
      <c r="F360" s="4">
        <v>19</v>
      </c>
      <c r="G360" s="4" t="s">
        <v>917</v>
      </c>
      <c r="H360" s="4" t="s">
        <v>918</v>
      </c>
    </row>
    <row r="361" spans="1:8" ht="15.5" x14ac:dyDescent="0.35">
      <c r="A361" s="4" t="s">
        <v>845</v>
      </c>
      <c r="B361" s="4">
        <v>1989</v>
      </c>
      <c r="C361" s="4"/>
      <c r="D361" s="9">
        <v>60</v>
      </c>
      <c r="E361" s="10" t="s">
        <v>647</v>
      </c>
      <c r="F361" s="4">
        <v>15</v>
      </c>
      <c r="G361" s="4" t="s">
        <v>919</v>
      </c>
      <c r="H361" s="4" t="s">
        <v>920</v>
      </c>
    </row>
    <row r="362" spans="1:8" ht="15.5" x14ac:dyDescent="0.35">
      <c r="A362" s="4" t="s">
        <v>845</v>
      </c>
      <c r="B362" s="4">
        <v>1990</v>
      </c>
      <c r="C362" s="4"/>
      <c r="D362" s="9">
        <v>132</v>
      </c>
      <c r="E362" s="10" t="s">
        <v>921</v>
      </c>
      <c r="F362" s="4">
        <v>14</v>
      </c>
      <c r="G362" s="4" t="s">
        <v>922</v>
      </c>
      <c r="H362" s="4" t="s">
        <v>923</v>
      </c>
    </row>
    <row r="363" spans="1:8" ht="15.5" x14ac:dyDescent="0.35">
      <c r="A363" s="4" t="s">
        <v>845</v>
      </c>
      <c r="B363" s="4">
        <v>1991</v>
      </c>
      <c r="C363" s="4"/>
      <c r="D363" s="9">
        <v>146</v>
      </c>
      <c r="E363" s="10" t="s">
        <v>921</v>
      </c>
      <c r="F363" s="4">
        <v>9</v>
      </c>
      <c r="G363" s="4" t="s">
        <v>924</v>
      </c>
      <c r="H363" s="4" t="s">
        <v>925</v>
      </c>
    </row>
    <row r="364" spans="1:8" ht="15.5" x14ac:dyDescent="0.35">
      <c r="A364" s="4" t="s">
        <v>845</v>
      </c>
      <c r="B364" s="4">
        <v>1992</v>
      </c>
      <c r="C364" s="4"/>
      <c r="D364" s="9">
        <v>73</v>
      </c>
      <c r="E364" s="10" t="s">
        <v>661</v>
      </c>
      <c r="F364" s="4">
        <v>6</v>
      </c>
      <c r="G364" s="4" t="s">
        <v>926</v>
      </c>
      <c r="H364" s="4" t="s">
        <v>927</v>
      </c>
    </row>
    <row r="365" spans="1:8" ht="15.5" x14ac:dyDescent="0.35">
      <c r="A365" s="4" t="s">
        <v>845</v>
      </c>
      <c r="B365" s="4">
        <v>1993</v>
      </c>
      <c r="C365" s="4"/>
      <c r="D365" s="9">
        <v>121</v>
      </c>
      <c r="E365" s="10" t="s">
        <v>45</v>
      </c>
      <c r="F365" s="4">
        <v>12</v>
      </c>
      <c r="G365" s="4" t="s">
        <v>928</v>
      </c>
      <c r="H365" s="4" t="s">
        <v>929</v>
      </c>
    </row>
    <row r="366" spans="1:8" ht="15.5" x14ac:dyDescent="0.35">
      <c r="A366" s="4" t="s">
        <v>845</v>
      </c>
      <c r="B366" s="4">
        <v>1994</v>
      </c>
      <c r="C366" s="4"/>
      <c r="D366" s="9">
        <v>74</v>
      </c>
      <c r="E366" s="10" t="s">
        <v>51</v>
      </c>
      <c r="F366" s="4">
        <v>25</v>
      </c>
      <c r="G366" s="4" t="s">
        <v>930</v>
      </c>
      <c r="H366" s="4" t="s">
        <v>931</v>
      </c>
    </row>
    <row r="367" spans="1:8" ht="15.5" x14ac:dyDescent="0.35">
      <c r="A367" s="4" t="s">
        <v>845</v>
      </c>
      <c r="B367" s="4">
        <v>1995</v>
      </c>
      <c r="C367" s="4"/>
      <c r="D367" s="9">
        <v>94</v>
      </c>
      <c r="E367" s="10" t="s">
        <v>473</v>
      </c>
      <c r="F367" s="4">
        <v>12</v>
      </c>
      <c r="G367" s="4" t="s">
        <v>932</v>
      </c>
      <c r="H367" s="4" t="s">
        <v>933</v>
      </c>
    </row>
    <row r="368" spans="1:8" ht="15.5" x14ac:dyDescent="0.35">
      <c r="A368" s="4" t="s">
        <v>845</v>
      </c>
      <c r="B368" s="4">
        <v>1996</v>
      </c>
      <c r="C368" s="4"/>
      <c r="D368" s="9">
        <v>18</v>
      </c>
      <c r="E368" s="10" t="s">
        <v>413</v>
      </c>
      <c r="F368" s="4">
        <v>13</v>
      </c>
      <c r="G368" s="4" t="s">
        <v>934</v>
      </c>
      <c r="H368" s="4" t="s">
        <v>935</v>
      </c>
    </row>
    <row r="369" spans="1:8" ht="15.5" x14ac:dyDescent="0.35">
      <c r="A369" s="4" t="s">
        <v>845</v>
      </c>
      <c r="B369" s="4">
        <v>1997</v>
      </c>
      <c r="C369" s="4"/>
      <c r="D369" s="9">
        <v>95</v>
      </c>
      <c r="E369" s="10" t="s">
        <v>51</v>
      </c>
      <c r="F369" s="4">
        <v>22</v>
      </c>
      <c r="G369" s="4" t="s">
        <v>936</v>
      </c>
      <c r="H369" s="4" t="s">
        <v>937</v>
      </c>
    </row>
    <row r="370" spans="1:8" ht="15.5" x14ac:dyDescent="0.35">
      <c r="A370" s="4" t="s">
        <v>845</v>
      </c>
      <c r="B370" s="4">
        <v>1998</v>
      </c>
      <c r="C370" s="4"/>
      <c r="D370" s="9">
        <v>3</v>
      </c>
      <c r="E370" s="10" t="s">
        <v>260</v>
      </c>
      <c r="F370" s="4">
        <v>3</v>
      </c>
      <c r="G370" s="4" t="s">
        <v>938</v>
      </c>
      <c r="H370" s="4" t="s">
        <v>939</v>
      </c>
    </row>
    <row r="371" spans="1:8" ht="15.5" x14ac:dyDescent="0.35">
      <c r="A371" s="4" t="s">
        <v>845</v>
      </c>
      <c r="B371" s="4">
        <v>1999</v>
      </c>
      <c r="C371" s="4"/>
      <c r="D371" s="9">
        <v>14</v>
      </c>
      <c r="E371" s="10" t="s">
        <v>413</v>
      </c>
      <c r="F371" s="4">
        <v>10</v>
      </c>
      <c r="G371" s="4" t="s">
        <v>940</v>
      </c>
      <c r="H371" s="4" t="s">
        <v>941</v>
      </c>
    </row>
    <row r="372" spans="1:8" ht="15.5" x14ac:dyDescent="0.35">
      <c r="A372" s="4" t="s">
        <v>845</v>
      </c>
      <c r="B372" s="4">
        <v>2000</v>
      </c>
      <c r="C372" s="4"/>
      <c r="D372" s="9">
        <v>5</v>
      </c>
      <c r="E372" s="10" t="s">
        <v>942</v>
      </c>
      <c r="F372" s="4">
        <v>5</v>
      </c>
      <c r="G372" s="4" t="s">
        <v>943</v>
      </c>
      <c r="H372" s="4" t="s">
        <v>944</v>
      </c>
    </row>
    <row r="373" spans="1:8" ht="15.5" x14ac:dyDescent="0.35">
      <c r="A373" s="4" t="s">
        <v>845</v>
      </c>
      <c r="B373" s="4">
        <v>2001</v>
      </c>
      <c r="C373" s="4"/>
      <c r="D373" s="9">
        <v>142</v>
      </c>
      <c r="E373" s="10" t="s">
        <v>473</v>
      </c>
      <c r="F373" s="4">
        <v>14</v>
      </c>
      <c r="G373" s="4" t="s">
        <v>945</v>
      </c>
      <c r="H373" s="4" t="s">
        <v>946</v>
      </c>
    </row>
    <row r="374" spans="1:8" ht="15.5" x14ac:dyDescent="0.35">
      <c r="A374" s="4" t="s">
        <v>845</v>
      </c>
      <c r="B374" s="4">
        <v>2002</v>
      </c>
      <c r="C374" s="4"/>
      <c r="D374" s="9">
        <v>104</v>
      </c>
      <c r="E374" s="10" t="s">
        <v>454</v>
      </c>
      <c r="F374" s="4">
        <v>17</v>
      </c>
      <c r="G374" s="4" t="s">
        <v>947</v>
      </c>
      <c r="H374" s="4" t="s">
        <v>948</v>
      </c>
    </row>
    <row r="375" spans="1:8" ht="15.5" x14ac:dyDescent="0.35">
      <c r="A375" s="4" t="s">
        <v>845</v>
      </c>
      <c r="B375" s="4">
        <v>2003</v>
      </c>
      <c r="C375" s="4"/>
      <c r="D375" s="9">
        <v>19</v>
      </c>
      <c r="E375" s="10" t="s">
        <v>54</v>
      </c>
      <c r="F375" s="4">
        <v>19</v>
      </c>
      <c r="G375" s="4" t="s">
        <v>949</v>
      </c>
      <c r="H375" s="4" t="s">
        <v>950</v>
      </c>
    </row>
    <row r="376" spans="1:8" ht="15.5" x14ac:dyDescent="0.35">
      <c r="A376" s="4" t="s">
        <v>845</v>
      </c>
      <c r="B376" s="4">
        <v>2004</v>
      </c>
      <c r="C376" s="4" t="s">
        <v>9</v>
      </c>
      <c r="D376" s="9">
        <v>40</v>
      </c>
      <c r="E376" s="10" t="s">
        <v>951</v>
      </c>
      <c r="F376" s="4">
        <v>4</v>
      </c>
      <c r="G376" s="4" t="s">
        <v>952</v>
      </c>
      <c r="H376" s="4" t="s">
        <v>953</v>
      </c>
    </row>
    <row r="377" spans="1:8" ht="15.5" x14ac:dyDescent="0.35">
      <c r="A377" s="4" t="s">
        <v>845</v>
      </c>
      <c r="B377" s="4">
        <v>2005</v>
      </c>
      <c r="C377" s="4" t="s">
        <v>9</v>
      </c>
      <c r="D377" s="9">
        <v>11</v>
      </c>
      <c r="E377" s="10" t="s">
        <v>942</v>
      </c>
      <c r="F377" s="4">
        <v>24</v>
      </c>
      <c r="G377" s="4" t="s">
        <v>954</v>
      </c>
      <c r="H377" s="4" t="s">
        <v>955</v>
      </c>
    </row>
    <row r="378" spans="1:8" ht="15.5" x14ac:dyDescent="0.35">
      <c r="A378" s="4" t="s">
        <v>845</v>
      </c>
      <c r="B378" s="4">
        <v>2006</v>
      </c>
      <c r="C378" s="4" t="s">
        <v>9</v>
      </c>
      <c r="D378" s="9">
        <v>5</v>
      </c>
      <c r="E378" s="10" t="s">
        <v>386</v>
      </c>
      <c r="F378" s="4">
        <v>19</v>
      </c>
      <c r="G378" s="4" t="s">
        <v>956</v>
      </c>
      <c r="H378" s="4" t="s">
        <v>957</v>
      </c>
    </row>
    <row r="379" spans="1:8" ht="15.5" x14ac:dyDescent="0.35">
      <c r="A379" s="4" t="s">
        <v>845</v>
      </c>
      <c r="B379" s="4">
        <v>2007</v>
      </c>
      <c r="C379" s="4" t="s">
        <v>9</v>
      </c>
      <c r="D379" s="9">
        <v>19</v>
      </c>
      <c r="E379" s="10" t="s">
        <v>386</v>
      </c>
      <c r="F379" s="4">
        <v>13</v>
      </c>
      <c r="G379" s="4" t="s">
        <v>958</v>
      </c>
      <c r="H379" s="4" t="s">
        <v>959</v>
      </c>
    </row>
    <row r="380" spans="1:8" ht="15.5" x14ac:dyDescent="0.35">
      <c r="A380" s="4" t="s">
        <v>845</v>
      </c>
      <c r="B380" s="4">
        <v>2008</v>
      </c>
      <c r="C380" s="4" t="s">
        <v>9</v>
      </c>
      <c r="D380" s="9">
        <v>47</v>
      </c>
      <c r="E380" s="10" t="s">
        <v>405</v>
      </c>
      <c r="F380" s="4">
        <v>19</v>
      </c>
      <c r="G380" s="4" t="s">
        <v>960</v>
      </c>
      <c r="H380" s="4" t="s">
        <v>961</v>
      </c>
    </row>
    <row r="381" spans="1:8" ht="15.5" x14ac:dyDescent="0.35">
      <c r="A381" s="4" t="s">
        <v>845</v>
      </c>
      <c r="B381" s="4">
        <v>2009</v>
      </c>
      <c r="C381" s="4" t="s">
        <v>9</v>
      </c>
      <c r="D381" s="9">
        <v>107</v>
      </c>
      <c r="E381" s="10" t="s">
        <v>222</v>
      </c>
      <c r="F381" s="4">
        <v>3</v>
      </c>
      <c r="G381" s="4" t="s">
        <v>962</v>
      </c>
      <c r="H381" s="4" t="s">
        <v>963</v>
      </c>
    </row>
    <row r="382" spans="1:8" ht="15.5" x14ac:dyDescent="0.35">
      <c r="A382" s="4" t="s">
        <v>845</v>
      </c>
      <c r="B382" s="4">
        <v>2010</v>
      </c>
      <c r="C382" s="4" t="s">
        <v>9</v>
      </c>
      <c r="D382" s="9">
        <v>82</v>
      </c>
      <c r="E382" s="10" t="s">
        <v>704</v>
      </c>
      <c r="F382" s="4">
        <v>18</v>
      </c>
      <c r="G382" s="4" t="s">
        <v>964</v>
      </c>
      <c r="H382" s="4" t="s">
        <v>965</v>
      </c>
    </row>
    <row r="383" spans="1:8" ht="15.5" x14ac:dyDescent="0.35">
      <c r="A383" s="4" t="s">
        <v>845</v>
      </c>
      <c r="B383" s="4">
        <v>2011</v>
      </c>
      <c r="C383" s="4" t="s">
        <v>9</v>
      </c>
      <c r="D383" s="9">
        <v>82</v>
      </c>
      <c r="E383" s="10" t="s">
        <v>86</v>
      </c>
      <c r="F383" s="4">
        <v>11</v>
      </c>
      <c r="G383" s="4" t="s">
        <v>966</v>
      </c>
      <c r="H383" s="4" t="s">
        <v>967</v>
      </c>
    </row>
    <row r="384" spans="1:8" ht="15.5" x14ac:dyDescent="0.35">
      <c r="A384" s="4" t="s">
        <v>845</v>
      </c>
      <c r="B384" s="4">
        <v>2012</v>
      </c>
      <c r="C384" s="4" t="s">
        <v>9</v>
      </c>
      <c r="D384" s="9">
        <v>21</v>
      </c>
      <c r="E384" s="10" t="s">
        <v>238</v>
      </c>
      <c r="F384" s="4">
        <v>9</v>
      </c>
      <c r="G384" s="4" t="s">
        <v>968</v>
      </c>
      <c r="H384" s="4" t="s">
        <v>969</v>
      </c>
    </row>
    <row r="385" spans="1:8" ht="15.5" x14ac:dyDescent="0.35">
      <c r="A385" s="4" t="s">
        <v>845</v>
      </c>
      <c r="B385" s="4">
        <v>2013</v>
      </c>
      <c r="C385" s="4" t="s">
        <v>9</v>
      </c>
      <c r="D385" s="9">
        <v>14</v>
      </c>
      <c r="E385" s="10" t="s">
        <v>502</v>
      </c>
      <c r="F385" s="4">
        <v>1</v>
      </c>
      <c r="G385" s="4" t="s">
        <v>970</v>
      </c>
      <c r="H385" s="4" t="s">
        <v>971</v>
      </c>
    </row>
    <row r="386" spans="1:8" ht="15.5" x14ac:dyDescent="0.35">
      <c r="A386" s="4" t="s">
        <v>845</v>
      </c>
      <c r="B386" s="4">
        <v>2014</v>
      </c>
      <c r="C386" s="4" t="s">
        <v>9</v>
      </c>
      <c r="D386" s="9">
        <v>2</v>
      </c>
      <c r="E386" s="10" t="s">
        <v>972</v>
      </c>
      <c r="F386" s="4">
        <v>14</v>
      </c>
      <c r="G386" s="4" t="s">
        <v>973</v>
      </c>
      <c r="H386" s="4" t="s">
        <v>974</v>
      </c>
    </row>
    <row r="387" spans="1:8" ht="15.5" x14ac:dyDescent="0.35">
      <c r="A387" s="4" t="s">
        <v>845</v>
      </c>
      <c r="B387" s="4">
        <v>2015</v>
      </c>
      <c r="C387" s="4" t="s">
        <v>9</v>
      </c>
      <c r="D387" s="9">
        <v>4</v>
      </c>
      <c r="E387" s="10" t="s">
        <v>975</v>
      </c>
      <c r="F387" s="4">
        <v>2</v>
      </c>
      <c r="G387" s="4" t="s">
        <v>976</v>
      </c>
      <c r="H387" s="4" t="s">
        <v>977</v>
      </c>
    </row>
    <row r="388" spans="1:8" ht="15.5" x14ac:dyDescent="0.35">
      <c r="A388" s="4" t="s">
        <v>845</v>
      </c>
      <c r="B388" s="4">
        <v>2016</v>
      </c>
      <c r="C388" s="4" t="s">
        <v>9</v>
      </c>
      <c r="D388" s="9">
        <v>257</v>
      </c>
      <c r="E388" s="10" t="s">
        <v>197</v>
      </c>
      <c r="F388" s="4">
        <v>11</v>
      </c>
      <c r="G388" s="4" t="s">
        <v>978</v>
      </c>
      <c r="H388" s="4" t="s">
        <v>979</v>
      </c>
    </row>
    <row r="389" spans="1:8" ht="15.5" x14ac:dyDescent="0.35">
      <c r="A389" s="4" t="s">
        <v>845</v>
      </c>
      <c r="B389" s="4">
        <v>2017</v>
      </c>
      <c r="C389" s="4" t="s">
        <v>9</v>
      </c>
      <c r="D389" s="9">
        <v>135</v>
      </c>
      <c r="E389" s="10" t="s">
        <v>391</v>
      </c>
      <c r="F389" s="4">
        <v>26</v>
      </c>
      <c r="G389" s="4" t="s">
        <v>980</v>
      </c>
      <c r="H389" s="4" t="s">
        <v>981</v>
      </c>
    </row>
    <row r="390" spans="1:8" ht="15.5" x14ac:dyDescent="0.35">
      <c r="A390" s="4" t="s">
        <v>845</v>
      </c>
      <c r="B390" s="4">
        <v>2018</v>
      </c>
      <c r="C390" s="4" t="s">
        <v>9</v>
      </c>
      <c r="D390" s="9">
        <v>173</v>
      </c>
      <c r="E390" s="10" t="s">
        <v>212</v>
      </c>
      <c r="F390" s="4">
        <v>13</v>
      </c>
      <c r="G390" s="4" t="s">
        <v>982</v>
      </c>
      <c r="H390" s="4" t="s">
        <v>983</v>
      </c>
    </row>
    <row r="391" spans="1:8" ht="15.5" x14ac:dyDescent="0.35">
      <c r="A391" s="4" t="s">
        <v>845</v>
      </c>
      <c r="B391" s="4">
        <v>2019</v>
      </c>
      <c r="C391" s="4" t="s">
        <v>9</v>
      </c>
      <c r="D391" s="9">
        <v>105</v>
      </c>
      <c r="E391" s="10" t="s">
        <v>215</v>
      </c>
      <c r="F391" s="4">
        <v>21</v>
      </c>
      <c r="G391" s="4" t="s">
        <v>984</v>
      </c>
      <c r="H391" s="4" t="s">
        <v>985</v>
      </c>
    </row>
    <row r="392" spans="1:8" ht="15.5" x14ac:dyDescent="0.35">
      <c r="A392" s="4" t="s">
        <v>845</v>
      </c>
      <c r="B392" s="4">
        <v>2021</v>
      </c>
      <c r="C392" s="4" t="s">
        <v>9</v>
      </c>
      <c r="D392" s="9">
        <v>499</v>
      </c>
      <c r="E392" s="10" t="s">
        <v>75</v>
      </c>
      <c r="F392" s="4">
        <v>20</v>
      </c>
      <c r="G392" s="4" t="s">
        <v>986</v>
      </c>
      <c r="H392" s="4" t="s">
        <v>987</v>
      </c>
    </row>
    <row r="393" spans="1:8" ht="15.5" x14ac:dyDescent="0.35">
      <c r="A393" s="4" t="s">
        <v>845</v>
      </c>
      <c r="B393" s="4">
        <v>2022</v>
      </c>
      <c r="C393" s="4" t="s">
        <v>9</v>
      </c>
      <c r="D393" s="9">
        <v>17</v>
      </c>
      <c r="E393" s="10" t="s">
        <v>260</v>
      </c>
      <c r="F393" s="4">
        <v>6</v>
      </c>
      <c r="G393" s="4" t="s">
        <v>988</v>
      </c>
      <c r="H393" s="4" t="s">
        <v>989</v>
      </c>
    </row>
    <row r="394" spans="1:8" ht="15.5" x14ac:dyDescent="0.35">
      <c r="A394" s="4" t="s">
        <v>990</v>
      </c>
      <c r="B394" s="4">
        <v>2007</v>
      </c>
      <c r="C394" s="4" t="s">
        <v>9</v>
      </c>
      <c r="D394" s="9">
        <v>97</v>
      </c>
      <c r="E394" s="10" t="s">
        <v>491</v>
      </c>
      <c r="F394" s="4">
        <v>11</v>
      </c>
      <c r="G394" s="4" t="s">
        <v>991</v>
      </c>
      <c r="H394" s="4" t="s">
        <v>992</v>
      </c>
    </row>
    <row r="395" spans="1:8" ht="15.5" x14ac:dyDescent="0.35">
      <c r="A395" s="4" t="s">
        <v>990</v>
      </c>
      <c r="B395" s="4">
        <v>2008</v>
      </c>
      <c r="C395" s="4" t="s">
        <v>9</v>
      </c>
      <c r="D395" s="9">
        <v>83</v>
      </c>
      <c r="E395" s="10" t="s">
        <v>540</v>
      </c>
      <c r="F395" s="4">
        <v>17</v>
      </c>
      <c r="G395" s="4" t="s">
        <v>993</v>
      </c>
      <c r="H395" s="4" t="s">
        <v>994</v>
      </c>
    </row>
    <row r="396" spans="1:8" ht="15.5" x14ac:dyDescent="0.35">
      <c r="A396" s="4" t="s">
        <v>990</v>
      </c>
      <c r="B396" s="4">
        <v>2010</v>
      </c>
      <c r="C396" s="4" t="s">
        <v>9</v>
      </c>
      <c r="D396" s="9">
        <v>136</v>
      </c>
      <c r="E396" s="10" t="s">
        <v>444</v>
      </c>
      <c r="F396" s="4">
        <v>13</v>
      </c>
      <c r="G396" s="4" t="s">
        <v>995</v>
      </c>
      <c r="H396" s="4" t="s">
        <v>996</v>
      </c>
    </row>
    <row r="397" spans="1:8" ht="15.5" x14ac:dyDescent="0.35">
      <c r="A397" s="4" t="s">
        <v>990</v>
      </c>
      <c r="B397" s="4">
        <v>2011</v>
      </c>
      <c r="C397" s="4" t="s">
        <v>9</v>
      </c>
      <c r="D397" s="9">
        <v>110</v>
      </c>
      <c r="E397" s="10" t="s">
        <v>444</v>
      </c>
      <c r="F397" s="4">
        <v>25</v>
      </c>
      <c r="G397" s="4" t="s">
        <v>997</v>
      </c>
      <c r="H397" s="4" t="s">
        <v>998</v>
      </c>
    </row>
    <row r="398" spans="1:8" ht="15.5" x14ac:dyDescent="0.35">
      <c r="A398" s="4" t="s">
        <v>990</v>
      </c>
      <c r="B398" s="4">
        <v>2013</v>
      </c>
      <c r="C398" s="4" t="s">
        <v>9</v>
      </c>
      <c r="D398" s="9">
        <v>50</v>
      </c>
      <c r="E398" s="10" t="s">
        <v>488</v>
      </c>
      <c r="F398" s="4">
        <v>25</v>
      </c>
      <c r="G398" s="4" t="s">
        <v>999</v>
      </c>
      <c r="H398" s="4" t="s">
        <v>1000</v>
      </c>
    </row>
    <row r="399" spans="1:8" ht="15.5" x14ac:dyDescent="0.35">
      <c r="A399" s="4" t="s">
        <v>990</v>
      </c>
      <c r="B399" s="4">
        <v>2015</v>
      </c>
      <c r="C399" s="4" t="s">
        <v>9</v>
      </c>
      <c r="D399" s="9">
        <v>51</v>
      </c>
      <c r="E399" s="10" t="s">
        <v>1001</v>
      </c>
      <c r="F399" s="4">
        <v>23</v>
      </c>
      <c r="G399" s="4" t="s">
        <v>1002</v>
      </c>
      <c r="H399" s="4" t="s">
        <v>1003</v>
      </c>
    </row>
    <row r="400" spans="1:8" ht="15.5" x14ac:dyDescent="0.35">
      <c r="A400" s="4" t="s">
        <v>990</v>
      </c>
      <c r="B400" s="4">
        <v>2016</v>
      </c>
      <c r="C400" s="4" t="s">
        <v>9</v>
      </c>
      <c r="D400" s="9">
        <v>104</v>
      </c>
      <c r="E400" s="10" t="s">
        <v>81</v>
      </c>
      <c r="F400" s="4">
        <v>23</v>
      </c>
      <c r="G400" s="4" t="s">
        <v>1004</v>
      </c>
      <c r="H400" s="4" t="s">
        <v>1005</v>
      </c>
    </row>
    <row r="401" spans="1:8" ht="15.5" x14ac:dyDescent="0.35">
      <c r="A401" s="4" t="s">
        <v>1006</v>
      </c>
      <c r="B401" s="4">
        <v>1957</v>
      </c>
      <c r="C401" s="4"/>
      <c r="D401" s="9">
        <v>8</v>
      </c>
      <c r="E401" s="10" t="s">
        <v>1007</v>
      </c>
      <c r="F401" s="4">
        <v>7</v>
      </c>
      <c r="G401" s="4" t="s">
        <v>1008</v>
      </c>
      <c r="H401" s="4" t="s">
        <v>1009</v>
      </c>
    </row>
    <row r="402" spans="1:8" ht="15.5" x14ac:dyDescent="0.35">
      <c r="A402" s="4" t="s">
        <v>1006</v>
      </c>
      <c r="B402" s="4">
        <v>1958</v>
      </c>
      <c r="C402" s="4"/>
      <c r="D402" s="9">
        <v>5</v>
      </c>
      <c r="E402" s="10" t="s">
        <v>1010</v>
      </c>
      <c r="F402" s="4">
        <v>8</v>
      </c>
      <c r="G402" s="4" t="s">
        <v>1008</v>
      </c>
      <c r="H402" s="4" t="s">
        <v>1011</v>
      </c>
    </row>
    <row r="403" spans="1:8" ht="15.5" x14ac:dyDescent="0.35">
      <c r="A403" s="4" t="s">
        <v>1006</v>
      </c>
      <c r="B403" s="4">
        <v>1959</v>
      </c>
      <c r="C403" s="4"/>
      <c r="D403" s="9">
        <v>5</v>
      </c>
      <c r="E403" s="10" t="s">
        <v>1012</v>
      </c>
      <c r="F403" s="4">
        <v>6</v>
      </c>
      <c r="G403" s="4" t="s">
        <v>1013</v>
      </c>
      <c r="H403" s="4" t="s">
        <v>1014</v>
      </c>
    </row>
    <row r="404" spans="1:8" ht="15.5" x14ac:dyDescent="0.35">
      <c r="A404" s="4" t="s">
        <v>1006</v>
      </c>
      <c r="B404" s="4">
        <v>1960</v>
      </c>
      <c r="C404" s="4"/>
      <c r="D404" s="9">
        <v>11</v>
      </c>
      <c r="E404" s="10" t="s">
        <v>1015</v>
      </c>
      <c r="F404" s="4">
        <v>11</v>
      </c>
      <c r="G404" s="4" t="s">
        <v>1016</v>
      </c>
      <c r="H404" s="4" t="s">
        <v>1017</v>
      </c>
    </row>
    <row r="405" spans="1:8" ht="15.5" x14ac:dyDescent="0.35">
      <c r="A405" s="4" t="s">
        <v>1006</v>
      </c>
      <c r="B405" s="4">
        <v>1961</v>
      </c>
      <c r="C405" s="4"/>
      <c r="D405" s="9">
        <v>3</v>
      </c>
      <c r="E405" s="10" t="s">
        <v>105</v>
      </c>
      <c r="F405" s="4">
        <v>8</v>
      </c>
      <c r="G405" s="4" t="s">
        <v>1018</v>
      </c>
      <c r="H405" s="4" t="s">
        <v>1019</v>
      </c>
    </row>
    <row r="406" spans="1:8" ht="15.5" x14ac:dyDescent="0.35">
      <c r="A406" s="4" t="s">
        <v>1006</v>
      </c>
      <c r="B406" s="4">
        <v>1962</v>
      </c>
      <c r="C406" s="4"/>
      <c r="D406" s="9">
        <v>9</v>
      </c>
      <c r="E406" s="10" t="s">
        <v>111</v>
      </c>
      <c r="F406" s="4">
        <v>7</v>
      </c>
      <c r="G406" s="4" t="s">
        <v>1020</v>
      </c>
      <c r="H406" s="4" t="s">
        <v>1021</v>
      </c>
    </row>
    <row r="407" spans="1:8" ht="15.5" x14ac:dyDescent="0.35">
      <c r="A407" s="4" t="s">
        <v>1006</v>
      </c>
      <c r="B407" s="4">
        <v>1963</v>
      </c>
      <c r="C407" s="4"/>
      <c r="D407" s="9">
        <v>5</v>
      </c>
      <c r="E407" s="10" t="s">
        <v>611</v>
      </c>
      <c r="F407" s="4">
        <v>3</v>
      </c>
      <c r="G407" s="4" t="s">
        <v>1022</v>
      </c>
      <c r="H407" s="4" t="s">
        <v>1023</v>
      </c>
    </row>
    <row r="408" spans="1:8" ht="15.5" x14ac:dyDescent="0.35">
      <c r="A408" s="4" t="s">
        <v>1006</v>
      </c>
      <c r="B408" s="4">
        <v>1964</v>
      </c>
      <c r="C408" s="4"/>
      <c r="D408" s="9">
        <v>0</v>
      </c>
      <c r="E408" s="10" t="s">
        <v>105</v>
      </c>
      <c r="F408" s="4">
        <v>9</v>
      </c>
      <c r="G408" s="4" t="s">
        <v>1024</v>
      </c>
      <c r="H408" s="4" t="s">
        <v>1025</v>
      </c>
    </row>
    <row r="409" spans="1:8" ht="15.5" x14ac:dyDescent="0.35">
      <c r="A409" s="4" t="s">
        <v>1006</v>
      </c>
      <c r="B409" s="4">
        <v>1965</v>
      </c>
      <c r="C409" s="4"/>
      <c r="D409" s="9">
        <v>0</v>
      </c>
      <c r="E409" s="10" t="s">
        <v>290</v>
      </c>
      <c r="F409" s="4">
        <v>5</v>
      </c>
      <c r="G409" s="4" t="s">
        <v>1026</v>
      </c>
      <c r="H409" s="4" t="s">
        <v>1027</v>
      </c>
    </row>
    <row r="410" spans="1:8" ht="15.5" x14ac:dyDescent="0.35">
      <c r="A410" s="4" t="s">
        <v>1006</v>
      </c>
      <c r="B410" s="4">
        <v>1966</v>
      </c>
      <c r="C410" s="4"/>
      <c r="D410" s="9">
        <v>7</v>
      </c>
      <c r="E410" s="10" t="s">
        <v>747</v>
      </c>
      <c r="F410" s="4">
        <v>1</v>
      </c>
      <c r="G410" s="4" t="s">
        <v>1028</v>
      </c>
      <c r="H410" s="4" t="s">
        <v>1029</v>
      </c>
    </row>
    <row r="411" spans="1:8" ht="15.5" x14ac:dyDescent="0.35">
      <c r="A411" s="4" t="s">
        <v>1006</v>
      </c>
      <c r="B411" s="4">
        <v>1967</v>
      </c>
      <c r="C411" s="4"/>
      <c r="D411" s="9">
        <v>7</v>
      </c>
      <c r="E411" s="10" t="s">
        <v>1030</v>
      </c>
      <c r="F411" s="4">
        <v>9</v>
      </c>
      <c r="G411" s="4" t="s">
        <v>1031</v>
      </c>
      <c r="H411" s="4" t="s">
        <v>1032</v>
      </c>
    </row>
    <row r="412" spans="1:8" ht="15.5" x14ac:dyDescent="0.35">
      <c r="A412" s="4" t="s">
        <v>1006</v>
      </c>
      <c r="B412" s="4">
        <v>1968</v>
      </c>
      <c r="C412" s="4"/>
      <c r="D412" s="9">
        <v>11</v>
      </c>
      <c r="E412" s="10" t="s">
        <v>764</v>
      </c>
      <c r="F412" s="4">
        <v>16</v>
      </c>
      <c r="G412" s="4" t="s">
        <v>1033</v>
      </c>
      <c r="H412" s="4" t="s">
        <v>1034</v>
      </c>
    </row>
    <row r="413" spans="1:8" ht="15.5" x14ac:dyDescent="0.35">
      <c r="A413" s="4" t="s">
        <v>1006</v>
      </c>
      <c r="B413" s="4">
        <v>1969</v>
      </c>
      <c r="C413" s="4"/>
      <c r="D413" s="9">
        <v>8</v>
      </c>
      <c r="E413" s="10" t="s">
        <v>611</v>
      </c>
      <c r="F413" s="4">
        <v>13</v>
      </c>
      <c r="G413" s="4" t="s">
        <v>1035</v>
      </c>
      <c r="H413" s="4" t="s">
        <v>1036</v>
      </c>
    </row>
    <row r="414" spans="1:8" ht="15.5" x14ac:dyDescent="0.35">
      <c r="A414" s="4" t="s">
        <v>1006</v>
      </c>
      <c r="B414" s="4">
        <v>1970</v>
      </c>
      <c r="C414" s="4"/>
      <c r="D414" s="9">
        <v>12</v>
      </c>
      <c r="E414" s="10" t="s">
        <v>1037</v>
      </c>
      <c r="F414" s="4">
        <v>11</v>
      </c>
      <c r="G414" s="4" t="s">
        <v>1038</v>
      </c>
      <c r="H414" s="4" t="s">
        <v>1039</v>
      </c>
    </row>
    <row r="415" spans="1:8" ht="15.5" x14ac:dyDescent="0.35">
      <c r="A415" s="4" t="s">
        <v>1006</v>
      </c>
      <c r="B415" s="4">
        <v>1971</v>
      </c>
      <c r="C415" s="4"/>
      <c r="D415" s="9">
        <v>100</v>
      </c>
      <c r="E415" s="10" t="s">
        <v>867</v>
      </c>
      <c r="F415" s="4">
        <v>5</v>
      </c>
      <c r="G415" s="4" t="s">
        <v>1038</v>
      </c>
      <c r="H415" s="4" t="s">
        <v>1040</v>
      </c>
    </row>
    <row r="416" spans="1:8" ht="15.5" x14ac:dyDescent="0.35">
      <c r="A416" s="4" t="s">
        <v>1006</v>
      </c>
      <c r="B416" s="4">
        <v>1972</v>
      </c>
      <c r="C416" s="4"/>
      <c r="D416" s="9">
        <v>107</v>
      </c>
      <c r="E416" s="10" t="s">
        <v>867</v>
      </c>
      <c r="F416" s="4">
        <v>1</v>
      </c>
      <c r="G416" s="4" t="s">
        <v>1041</v>
      </c>
      <c r="H416" s="4" t="s">
        <v>1042</v>
      </c>
    </row>
    <row r="417" spans="1:8" ht="15.5" x14ac:dyDescent="0.35">
      <c r="A417" s="4" t="s">
        <v>1006</v>
      </c>
      <c r="B417" s="4">
        <v>1973</v>
      </c>
      <c r="C417" s="4"/>
      <c r="D417" s="9">
        <v>85</v>
      </c>
      <c r="E417" s="10" t="s">
        <v>1030</v>
      </c>
      <c r="F417" s="4">
        <v>4</v>
      </c>
      <c r="G417" s="4" t="s">
        <v>1043</v>
      </c>
      <c r="H417" s="4" t="s">
        <v>1044</v>
      </c>
    </row>
    <row r="418" spans="1:8" ht="15.5" x14ac:dyDescent="0.35">
      <c r="A418" s="4" t="s">
        <v>1006</v>
      </c>
      <c r="B418" s="4">
        <v>1974</v>
      </c>
      <c r="C418" s="4"/>
      <c r="D418" s="9">
        <v>3</v>
      </c>
      <c r="E418" s="10" t="s">
        <v>118</v>
      </c>
      <c r="F418" s="4">
        <v>14</v>
      </c>
      <c r="G418" s="4" t="s">
        <v>1045</v>
      </c>
      <c r="H418" s="4" t="s">
        <v>1046</v>
      </c>
    </row>
    <row r="419" spans="1:8" ht="15.5" x14ac:dyDescent="0.35">
      <c r="A419" s="4" t="s">
        <v>1006</v>
      </c>
      <c r="B419" s="4">
        <v>1975</v>
      </c>
      <c r="C419" s="4"/>
      <c r="D419" s="9">
        <v>15</v>
      </c>
      <c r="E419" s="10" t="s">
        <v>328</v>
      </c>
      <c r="F419" s="4">
        <v>4</v>
      </c>
      <c r="G419" s="4" t="s">
        <v>1047</v>
      </c>
      <c r="H419" s="4" t="s">
        <v>1048</v>
      </c>
    </row>
    <row r="420" spans="1:8" ht="15.5" x14ac:dyDescent="0.35">
      <c r="A420" s="4" t="s">
        <v>1006</v>
      </c>
      <c r="B420" s="4">
        <v>1976</v>
      </c>
      <c r="C420" s="4"/>
      <c r="D420" s="9">
        <v>12</v>
      </c>
      <c r="E420" s="10" t="s">
        <v>290</v>
      </c>
      <c r="F420" s="4">
        <v>3</v>
      </c>
      <c r="G420" s="4" t="s">
        <v>1049</v>
      </c>
      <c r="H420" s="4" t="s">
        <v>1050</v>
      </c>
    </row>
    <row r="421" spans="1:8" ht="15.5" x14ac:dyDescent="0.35">
      <c r="A421" s="4" t="s">
        <v>1006</v>
      </c>
      <c r="B421" s="4">
        <v>1977</v>
      </c>
      <c r="C421" s="4"/>
      <c r="D421" s="9">
        <v>55</v>
      </c>
      <c r="E421" s="10" t="s">
        <v>318</v>
      </c>
      <c r="F421" s="4">
        <v>6</v>
      </c>
      <c r="G421" s="4" t="s">
        <v>1051</v>
      </c>
      <c r="H421" s="4" t="s">
        <v>1052</v>
      </c>
    </row>
    <row r="422" spans="1:8" ht="15.5" x14ac:dyDescent="0.35">
      <c r="A422" s="4" t="s">
        <v>1006</v>
      </c>
      <c r="B422" s="4">
        <v>1978</v>
      </c>
      <c r="C422" s="4"/>
      <c r="D422" s="9">
        <v>84</v>
      </c>
      <c r="E422" s="10" t="s">
        <v>508</v>
      </c>
      <c r="F422" s="4">
        <v>13</v>
      </c>
      <c r="G422" s="4" t="s">
        <v>1053</v>
      </c>
      <c r="H422" s="4" t="s">
        <v>1054</v>
      </c>
    </row>
    <row r="423" spans="1:8" ht="15.5" x14ac:dyDescent="0.35">
      <c r="A423" s="4" t="s">
        <v>1006</v>
      </c>
      <c r="B423" s="4">
        <v>1979</v>
      </c>
      <c r="C423" s="4"/>
      <c r="D423" s="9">
        <v>86</v>
      </c>
      <c r="E423" s="10" t="s">
        <v>633</v>
      </c>
      <c r="F423" s="4">
        <v>9</v>
      </c>
      <c r="G423" s="4" t="s">
        <v>1055</v>
      </c>
      <c r="H423" s="4" t="s">
        <v>1055</v>
      </c>
    </row>
    <row r="424" spans="1:8" ht="15.5" x14ac:dyDescent="0.35">
      <c r="A424" s="4" t="s">
        <v>1006</v>
      </c>
      <c r="B424" s="4">
        <v>1980</v>
      </c>
      <c r="C424" s="4"/>
      <c r="D424" s="9">
        <v>128</v>
      </c>
      <c r="E424" s="10" t="s">
        <v>1056</v>
      </c>
      <c r="F424" s="4">
        <v>12</v>
      </c>
      <c r="G424" s="4" t="s">
        <v>1038</v>
      </c>
      <c r="H424" s="4" t="s">
        <v>1057</v>
      </c>
    </row>
    <row r="425" spans="1:8" ht="15.5" x14ac:dyDescent="0.35">
      <c r="A425" s="4" t="s">
        <v>1006</v>
      </c>
      <c r="B425" s="4">
        <v>1981</v>
      </c>
      <c r="C425" s="4"/>
      <c r="D425" s="9">
        <v>132</v>
      </c>
      <c r="E425" s="10" t="s">
        <v>324</v>
      </c>
      <c r="F425" s="4">
        <v>3</v>
      </c>
      <c r="G425" s="4" t="s">
        <v>1058</v>
      </c>
      <c r="H425" s="4" t="s">
        <v>1059</v>
      </c>
    </row>
    <row r="426" spans="1:8" ht="15.5" x14ac:dyDescent="0.35">
      <c r="A426" s="4" t="s">
        <v>1006</v>
      </c>
      <c r="B426" s="4">
        <v>1982</v>
      </c>
      <c r="C426" s="4"/>
      <c r="D426" s="9">
        <v>161</v>
      </c>
      <c r="E426" s="10" t="s">
        <v>116</v>
      </c>
      <c r="F426" s="4">
        <v>18</v>
      </c>
      <c r="G426" s="4" t="s">
        <v>1060</v>
      </c>
      <c r="H426" s="4" t="s">
        <v>1061</v>
      </c>
    </row>
    <row r="427" spans="1:8" ht="15.5" x14ac:dyDescent="0.35">
      <c r="A427" s="4" t="s">
        <v>1006</v>
      </c>
      <c r="B427" s="4">
        <v>1983</v>
      </c>
      <c r="C427" s="4"/>
      <c r="D427" s="9">
        <v>94</v>
      </c>
      <c r="E427" s="10" t="s">
        <v>1062</v>
      </c>
      <c r="F427" s="4">
        <v>14</v>
      </c>
      <c r="G427" s="4" t="s">
        <v>1063</v>
      </c>
      <c r="H427" s="4" t="s">
        <v>1064</v>
      </c>
    </row>
    <row r="428" spans="1:8" ht="15.5" x14ac:dyDescent="0.35">
      <c r="A428" s="4" t="s">
        <v>1006</v>
      </c>
      <c r="B428" s="4">
        <v>1984</v>
      </c>
      <c r="C428" s="4"/>
      <c r="D428" s="9">
        <v>34</v>
      </c>
      <c r="E428" s="10" t="s">
        <v>1065</v>
      </c>
      <c r="F428" s="4">
        <v>14</v>
      </c>
      <c r="G428" s="4" t="s">
        <v>1041</v>
      </c>
      <c r="H428" s="4" t="s">
        <v>1066</v>
      </c>
    </row>
    <row r="429" spans="1:8" ht="15.5" x14ac:dyDescent="0.35">
      <c r="A429" s="4" t="s">
        <v>1006</v>
      </c>
      <c r="B429" s="4">
        <v>1985</v>
      </c>
      <c r="C429" s="4"/>
      <c r="D429" s="9">
        <v>105</v>
      </c>
      <c r="E429" s="10" t="s">
        <v>1056</v>
      </c>
      <c r="F429" s="4">
        <v>10</v>
      </c>
      <c r="G429" s="4" t="s">
        <v>1067</v>
      </c>
      <c r="H429" s="4" t="s">
        <v>1068</v>
      </c>
    </row>
    <row r="430" spans="1:8" ht="15.5" x14ac:dyDescent="0.35">
      <c r="A430" s="4" t="s">
        <v>1006</v>
      </c>
      <c r="B430" s="4">
        <v>1986</v>
      </c>
      <c r="C430" s="4"/>
      <c r="D430" s="9">
        <v>62</v>
      </c>
      <c r="E430" s="10" t="s">
        <v>905</v>
      </c>
      <c r="F430" s="4">
        <v>14</v>
      </c>
      <c r="G430" s="4" t="s">
        <v>1069</v>
      </c>
      <c r="H430" s="4" t="s">
        <v>1070</v>
      </c>
    </row>
    <row r="431" spans="1:8" ht="15.5" x14ac:dyDescent="0.35">
      <c r="A431" s="4" t="s">
        <v>1006</v>
      </c>
      <c r="B431" s="4">
        <v>1987</v>
      </c>
      <c r="C431" s="4"/>
      <c r="D431" s="9">
        <v>141</v>
      </c>
      <c r="E431" s="10" t="s">
        <v>921</v>
      </c>
      <c r="F431" s="4">
        <v>16</v>
      </c>
      <c r="G431" s="4" t="s">
        <v>1067</v>
      </c>
      <c r="H431" s="4" t="s">
        <v>1071</v>
      </c>
    </row>
    <row r="432" spans="1:8" ht="15.5" x14ac:dyDescent="0.35">
      <c r="A432" s="4" t="s">
        <v>1006</v>
      </c>
      <c r="B432" s="4">
        <v>1988</v>
      </c>
      <c r="C432" s="4"/>
      <c r="D432" s="9">
        <v>48</v>
      </c>
      <c r="E432" s="10" t="s">
        <v>1072</v>
      </c>
      <c r="F432" s="4">
        <v>11</v>
      </c>
      <c r="G432" s="4" t="s">
        <v>1073</v>
      </c>
      <c r="H432" s="4" t="s">
        <v>1074</v>
      </c>
    </row>
    <row r="433" spans="1:8" ht="15.5" x14ac:dyDescent="0.35">
      <c r="A433" s="4" t="s">
        <v>1006</v>
      </c>
      <c r="B433" s="4">
        <v>1989</v>
      </c>
      <c r="C433" s="4"/>
      <c r="D433" s="9">
        <v>46</v>
      </c>
      <c r="E433" s="10" t="s">
        <v>529</v>
      </c>
      <c r="F433" s="4">
        <v>21</v>
      </c>
      <c r="G433" s="4" t="s">
        <v>1075</v>
      </c>
      <c r="H433" s="4" t="s">
        <v>1076</v>
      </c>
    </row>
    <row r="434" spans="1:8" ht="15.5" x14ac:dyDescent="0.35">
      <c r="A434" s="4" t="s">
        <v>1006</v>
      </c>
      <c r="B434" s="4">
        <v>1990</v>
      </c>
      <c r="C434" s="4"/>
      <c r="D434" s="9">
        <v>60</v>
      </c>
      <c r="E434" s="10" t="s">
        <v>532</v>
      </c>
      <c r="F434" s="4">
        <v>13</v>
      </c>
      <c r="G434" s="4" t="s">
        <v>1077</v>
      </c>
      <c r="H434" s="4" t="s">
        <v>1078</v>
      </c>
    </row>
    <row r="435" spans="1:8" ht="15.5" x14ac:dyDescent="0.35">
      <c r="A435" s="4" t="s">
        <v>1006</v>
      </c>
      <c r="B435" s="4">
        <v>1991</v>
      </c>
      <c r="C435" s="4"/>
      <c r="D435" s="9">
        <v>10</v>
      </c>
      <c r="E435" s="10" t="s">
        <v>1079</v>
      </c>
      <c r="F435" s="4">
        <v>17</v>
      </c>
      <c r="G435" s="4" t="s">
        <v>1080</v>
      </c>
      <c r="H435" s="4" t="s">
        <v>1081</v>
      </c>
    </row>
    <row r="436" spans="1:8" ht="15.5" x14ac:dyDescent="0.35">
      <c r="A436" s="4" t="s">
        <v>1006</v>
      </c>
      <c r="B436" s="4">
        <v>1992</v>
      </c>
      <c r="C436" s="4"/>
      <c r="D436" s="9">
        <v>27</v>
      </c>
      <c r="E436" s="10" t="s">
        <v>369</v>
      </c>
      <c r="F436" s="4">
        <v>22</v>
      </c>
      <c r="G436" s="4" t="s">
        <v>1067</v>
      </c>
      <c r="H436" s="4" t="s">
        <v>1082</v>
      </c>
    </row>
    <row r="437" spans="1:8" ht="15.5" x14ac:dyDescent="0.35">
      <c r="A437" s="4" t="s">
        <v>1006</v>
      </c>
      <c r="B437" s="4">
        <v>1993</v>
      </c>
      <c r="C437" s="4"/>
      <c r="D437" s="9">
        <v>18</v>
      </c>
      <c r="E437" s="10" t="s">
        <v>203</v>
      </c>
      <c r="F437" s="4">
        <v>3</v>
      </c>
      <c r="G437" s="4" t="s">
        <v>1083</v>
      </c>
      <c r="H437" s="4" t="s">
        <v>1084</v>
      </c>
    </row>
    <row r="438" spans="1:8" ht="15.5" x14ac:dyDescent="0.35">
      <c r="A438" s="4" t="s">
        <v>1006</v>
      </c>
      <c r="B438" s="4">
        <v>1994</v>
      </c>
      <c r="C438" s="4"/>
      <c r="D438" s="9">
        <v>128</v>
      </c>
      <c r="E438" s="10" t="s">
        <v>225</v>
      </c>
      <c r="F438" s="4">
        <v>14</v>
      </c>
      <c r="G438" s="4" t="s">
        <v>1085</v>
      </c>
      <c r="H438" s="4" t="s">
        <v>1086</v>
      </c>
    </row>
    <row r="439" spans="1:8" ht="15.5" x14ac:dyDescent="0.35">
      <c r="A439" s="4" t="s">
        <v>1006</v>
      </c>
      <c r="B439" s="4">
        <v>1995</v>
      </c>
      <c r="C439" s="4"/>
      <c r="D439" s="9">
        <v>1</v>
      </c>
      <c r="E439" s="10" t="s">
        <v>809</v>
      </c>
      <c r="F439" s="4">
        <v>3</v>
      </c>
      <c r="G439" s="4" t="s">
        <v>1087</v>
      </c>
      <c r="H439" s="4" t="s">
        <v>1088</v>
      </c>
    </row>
    <row r="440" spans="1:8" ht="15.5" x14ac:dyDescent="0.35">
      <c r="A440" s="4" t="s">
        <v>1006</v>
      </c>
      <c r="B440" s="4">
        <v>1997</v>
      </c>
      <c r="C440" s="4"/>
      <c r="D440" s="9">
        <v>22</v>
      </c>
      <c r="E440" s="10" t="s">
        <v>203</v>
      </c>
      <c r="F440" s="4">
        <v>11</v>
      </c>
      <c r="G440" s="4" t="s">
        <v>1089</v>
      </c>
      <c r="H440" s="4" t="s">
        <v>1090</v>
      </c>
    </row>
    <row r="441" spans="1:8" ht="15.5" x14ac:dyDescent="0.35">
      <c r="A441" s="4" t="s">
        <v>1006</v>
      </c>
      <c r="B441" s="4">
        <v>1998</v>
      </c>
      <c r="C441" s="4"/>
      <c r="D441" s="9">
        <v>86</v>
      </c>
      <c r="E441" s="10" t="s">
        <v>51</v>
      </c>
      <c r="F441" s="4">
        <v>9</v>
      </c>
      <c r="G441" s="4" t="s">
        <v>1091</v>
      </c>
      <c r="H441" s="4" t="s">
        <v>1092</v>
      </c>
    </row>
    <row r="442" spans="1:8" ht="15.5" x14ac:dyDescent="0.35">
      <c r="A442" s="4" t="s">
        <v>1006</v>
      </c>
      <c r="B442" s="4">
        <v>1999</v>
      </c>
      <c r="C442" s="4"/>
      <c r="D442" s="9">
        <v>140</v>
      </c>
      <c r="E442" s="10" t="s">
        <v>1093</v>
      </c>
      <c r="F442" s="4">
        <v>21</v>
      </c>
      <c r="G442" s="4" t="s">
        <v>1094</v>
      </c>
      <c r="H442" s="4" t="s">
        <v>1095</v>
      </c>
    </row>
    <row r="443" spans="1:8" ht="15.5" x14ac:dyDescent="0.35">
      <c r="A443" s="4" t="s">
        <v>1006</v>
      </c>
      <c r="B443" s="4">
        <v>2000</v>
      </c>
      <c r="C443" s="4"/>
      <c r="D443" s="9">
        <v>96</v>
      </c>
      <c r="E443" s="10" t="s">
        <v>454</v>
      </c>
      <c r="F443" s="4">
        <v>15</v>
      </c>
      <c r="G443" s="4" t="s">
        <v>1096</v>
      </c>
      <c r="H443" s="4" t="s">
        <v>1097</v>
      </c>
    </row>
    <row r="444" spans="1:8" ht="15.5" x14ac:dyDescent="0.35">
      <c r="A444" s="4" t="s">
        <v>1006</v>
      </c>
      <c r="B444" s="4">
        <v>2001</v>
      </c>
      <c r="C444" s="4"/>
      <c r="D444" s="9">
        <v>66</v>
      </c>
      <c r="E444" s="10" t="s">
        <v>661</v>
      </c>
      <c r="F444" s="4">
        <v>19</v>
      </c>
      <c r="G444" s="4" t="s">
        <v>1098</v>
      </c>
      <c r="H444" s="4" t="s">
        <v>1099</v>
      </c>
    </row>
    <row r="445" spans="1:8" ht="15.5" x14ac:dyDescent="0.35">
      <c r="A445" s="4" t="s">
        <v>1006</v>
      </c>
      <c r="B445" s="4">
        <v>2002</v>
      </c>
      <c r="C445" s="4"/>
      <c r="D445" s="9">
        <v>17</v>
      </c>
      <c r="E445" s="10" t="s">
        <v>200</v>
      </c>
      <c r="F445" s="4">
        <v>18</v>
      </c>
      <c r="G445" s="4" t="s">
        <v>1100</v>
      </c>
      <c r="H445" s="4" t="s">
        <v>1101</v>
      </c>
    </row>
    <row r="446" spans="1:8" ht="15.5" x14ac:dyDescent="0.35">
      <c r="A446" s="4" t="s">
        <v>1006</v>
      </c>
      <c r="B446" s="4">
        <v>2003</v>
      </c>
      <c r="C446" s="4"/>
      <c r="D446" s="9">
        <v>53</v>
      </c>
      <c r="E446" s="10" t="s">
        <v>30</v>
      </c>
      <c r="F446" s="4">
        <v>10</v>
      </c>
      <c r="G446" s="4" t="s">
        <v>1102</v>
      </c>
      <c r="H446" s="4" t="s">
        <v>1103</v>
      </c>
    </row>
    <row r="447" spans="1:8" ht="15.5" x14ac:dyDescent="0.35">
      <c r="A447" s="4" t="s">
        <v>1006</v>
      </c>
      <c r="B447" s="4">
        <v>2004</v>
      </c>
      <c r="C447" s="4" t="s">
        <v>9</v>
      </c>
      <c r="D447" s="9">
        <v>93</v>
      </c>
      <c r="E447" s="10" t="s">
        <v>40</v>
      </c>
      <c r="F447" s="4">
        <v>8</v>
      </c>
      <c r="G447" s="4" t="s">
        <v>1104</v>
      </c>
      <c r="H447" s="4" t="s">
        <v>1105</v>
      </c>
    </row>
    <row r="448" spans="1:8" ht="15.5" x14ac:dyDescent="0.35">
      <c r="A448" s="4" t="s">
        <v>1006</v>
      </c>
      <c r="B448" s="4">
        <v>2005</v>
      </c>
      <c r="C448" s="4" t="s">
        <v>9</v>
      </c>
      <c r="D448" s="9">
        <v>4</v>
      </c>
      <c r="E448" s="10" t="s">
        <v>378</v>
      </c>
      <c r="F448" s="4">
        <v>17</v>
      </c>
      <c r="G448" s="4" t="s">
        <v>1106</v>
      </c>
      <c r="H448" s="4" t="s">
        <v>1107</v>
      </c>
    </row>
    <row r="449" spans="1:8" ht="15.5" x14ac:dyDescent="0.35">
      <c r="A449" s="4" t="s">
        <v>1006</v>
      </c>
      <c r="B449" s="4">
        <v>2006</v>
      </c>
      <c r="C449" s="4" t="s">
        <v>9</v>
      </c>
      <c r="D449" s="9">
        <v>36</v>
      </c>
      <c r="E449" s="10" t="s">
        <v>191</v>
      </c>
      <c r="F449" s="4">
        <v>8</v>
      </c>
      <c r="G449" s="4" t="s">
        <v>1108</v>
      </c>
      <c r="H449" s="4" t="s">
        <v>1109</v>
      </c>
    </row>
    <row r="450" spans="1:8" ht="15.5" x14ac:dyDescent="0.35">
      <c r="A450" s="4" t="s">
        <v>1006</v>
      </c>
      <c r="B450" s="4">
        <v>2007</v>
      </c>
      <c r="C450" s="4" t="s">
        <v>9</v>
      </c>
      <c r="D450" s="9">
        <v>49</v>
      </c>
      <c r="E450" s="10" t="s">
        <v>1110</v>
      </c>
      <c r="F450" s="4">
        <v>16</v>
      </c>
      <c r="G450" s="4" t="s">
        <v>1111</v>
      </c>
      <c r="H450" s="4" t="s">
        <v>1112</v>
      </c>
    </row>
    <row r="451" spans="1:8" ht="15.5" x14ac:dyDescent="0.35">
      <c r="A451" s="4" t="s">
        <v>1006</v>
      </c>
      <c r="B451" s="4">
        <v>2008</v>
      </c>
      <c r="C451" s="4" t="s">
        <v>9</v>
      </c>
      <c r="D451" s="9">
        <v>14</v>
      </c>
      <c r="E451" s="10" t="s">
        <v>1113</v>
      </c>
      <c r="F451" s="4">
        <v>4</v>
      </c>
      <c r="G451" s="4" t="s">
        <v>1114</v>
      </c>
      <c r="H451" s="4" t="s">
        <v>1115</v>
      </c>
    </row>
    <row r="452" spans="1:8" ht="15.5" x14ac:dyDescent="0.35">
      <c r="A452" s="4" t="s">
        <v>1006</v>
      </c>
      <c r="B452" s="4">
        <v>2009</v>
      </c>
      <c r="C452" s="4" t="s">
        <v>9</v>
      </c>
      <c r="D452" s="9">
        <v>35</v>
      </c>
      <c r="E452" s="10" t="s">
        <v>68</v>
      </c>
      <c r="F452" s="4">
        <v>17</v>
      </c>
      <c r="G452" s="4" t="s">
        <v>1116</v>
      </c>
      <c r="H452" s="4" t="s">
        <v>1117</v>
      </c>
    </row>
    <row r="453" spans="1:8" ht="15.5" x14ac:dyDescent="0.35">
      <c r="A453" s="4" t="s">
        <v>1006</v>
      </c>
      <c r="B453" s="4">
        <v>2010</v>
      </c>
      <c r="C453" s="4" t="s">
        <v>9</v>
      </c>
      <c r="D453" s="9">
        <v>246</v>
      </c>
      <c r="E453" s="10" t="s">
        <v>231</v>
      </c>
      <c r="F453" s="4">
        <v>22</v>
      </c>
      <c r="G453" s="4" t="s">
        <v>1118</v>
      </c>
      <c r="H453" s="4" t="s">
        <v>1119</v>
      </c>
    </row>
    <row r="454" spans="1:8" ht="15.5" x14ac:dyDescent="0.35">
      <c r="A454" s="4" t="s">
        <v>1006</v>
      </c>
      <c r="B454" s="4">
        <v>2011</v>
      </c>
      <c r="C454" s="4" t="s">
        <v>9</v>
      </c>
      <c r="D454" s="9">
        <v>107</v>
      </c>
      <c r="E454" s="10" t="s">
        <v>48</v>
      </c>
      <c r="F454" s="4">
        <v>16</v>
      </c>
      <c r="G454" s="4" t="s">
        <v>1118</v>
      </c>
      <c r="H454" s="4" t="s">
        <v>1120</v>
      </c>
    </row>
    <row r="455" spans="1:8" ht="15.5" x14ac:dyDescent="0.35">
      <c r="A455" s="4" t="s">
        <v>1006</v>
      </c>
      <c r="B455" s="4">
        <v>2012</v>
      </c>
      <c r="C455" s="4" t="s">
        <v>9</v>
      </c>
      <c r="D455" s="9">
        <v>110</v>
      </c>
      <c r="E455" s="10" t="s">
        <v>249</v>
      </c>
      <c r="F455" s="4">
        <v>20</v>
      </c>
      <c r="G455" s="4" t="s">
        <v>1121</v>
      </c>
      <c r="H455" s="4" t="s">
        <v>1122</v>
      </c>
    </row>
    <row r="456" spans="1:8" ht="15.5" x14ac:dyDescent="0.35">
      <c r="A456" s="4" t="s">
        <v>1006</v>
      </c>
      <c r="B456" s="4">
        <v>2013</v>
      </c>
      <c r="C456" s="4" t="s">
        <v>9</v>
      </c>
      <c r="D456" s="9">
        <v>18</v>
      </c>
      <c r="E456" s="10" t="s">
        <v>36</v>
      </c>
      <c r="F456" s="4">
        <v>11</v>
      </c>
      <c r="G456" s="4" t="s">
        <v>1123</v>
      </c>
      <c r="H456" s="4" t="s">
        <v>1124</v>
      </c>
    </row>
    <row r="457" spans="1:8" ht="15.5" x14ac:dyDescent="0.35">
      <c r="A457" s="4" t="s">
        <v>1006</v>
      </c>
      <c r="B457" s="4">
        <v>2014</v>
      </c>
      <c r="C457" s="4" t="s">
        <v>9</v>
      </c>
      <c r="D457" s="9">
        <v>39</v>
      </c>
      <c r="E457" s="10" t="s">
        <v>54</v>
      </c>
      <c r="F457" s="4">
        <v>12</v>
      </c>
      <c r="G457" s="4" t="s">
        <v>1125</v>
      </c>
      <c r="H457" s="4" t="s">
        <v>1126</v>
      </c>
    </row>
    <row r="458" spans="1:8" ht="15.5" x14ac:dyDescent="0.35">
      <c r="A458" s="4" t="s">
        <v>1006</v>
      </c>
      <c r="B458" s="4">
        <v>2015</v>
      </c>
      <c r="C458" s="4" t="s">
        <v>9</v>
      </c>
      <c r="D458" s="9">
        <v>0</v>
      </c>
      <c r="E458" s="10" t="s">
        <v>1127</v>
      </c>
      <c r="F458" s="4">
        <v>17</v>
      </c>
      <c r="G458" s="4" t="s">
        <v>1128</v>
      </c>
      <c r="H458" s="4" t="s">
        <v>1129</v>
      </c>
    </row>
    <row r="459" spans="1:8" ht="15.5" x14ac:dyDescent="0.35">
      <c r="A459" s="4" t="s">
        <v>1006</v>
      </c>
      <c r="B459" s="4">
        <v>2016</v>
      </c>
      <c r="C459" s="4" t="s">
        <v>9</v>
      </c>
      <c r="D459" s="9">
        <v>11</v>
      </c>
      <c r="E459" s="10" t="s">
        <v>972</v>
      </c>
      <c r="F459" s="4">
        <v>10</v>
      </c>
      <c r="G459" s="4" t="s">
        <v>1130</v>
      </c>
      <c r="H459" s="4" t="s">
        <v>1131</v>
      </c>
    </row>
    <row r="460" spans="1:8" ht="15.5" x14ac:dyDescent="0.35">
      <c r="A460" s="4" t="s">
        <v>1006</v>
      </c>
      <c r="B460" s="4">
        <v>2017</v>
      </c>
      <c r="C460" s="4" t="s">
        <v>9</v>
      </c>
      <c r="D460" s="9">
        <v>6</v>
      </c>
      <c r="E460" s="10" t="s">
        <v>581</v>
      </c>
      <c r="F460" s="4">
        <v>21</v>
      </c>
      <c r="G460" s="4" t="s">
        <v>1132</v>
      </c>
      <c r="H460" s="4" t="s">
        <v>1133</v>
      </c>
    </row>
    <row r="461" spans="1:8" ht="15.5" x14ac:dyDescent="0.35">
      <c r="A461" s="4" t="s">
        <v>1006</v>
      </c>
      <c r="B461" s="4">
        <v>2018</v>
      </c>
      <c r="C461" s="4" t="s">
        <v>9</v>
      </c>
      <c r="D461" s="9">
        <v>340</v>
      </c>
      <c r="E461" s="10" t="s">
        <v>57</v>
      </c>
      <c r="F461" s="4">
        <v>11</v>
      </c>
      <c r="G461" s="4" t="s">
        <v>1134</v>
      </c>
      <c r="H461" s="4" t="s">
        <v>1135</v>
      </c>
    </row>
    <row r="462" spans="1:8" ht="15.5" x14ac:dyDescent="0.35">
      <c r="A462" s="4" t="s">
        <v>1006</v>
      </c>
      <c r="B462" s="4">
        <v>2019</v>
      </c>
      <c r="C462" s="4" t="s">
        <v>9</v>
      </c>
      <c r="D462" s="9">
        <v>24</v>
      </c>
      <c r="E462" s="10" t="s">
        <v>581</v>
      </c>
      <c r="F462" s="4">
        <v>4</v>
      </c>
      <c r="G462" s="4" t="s">
        <v>1136</v>
      </c>
      <c r="H462" s="4" t="s">
        <v>383</v>
      </c>
    </row>
    <row r="463" spans="1:8" ht="15.5" x14ac:dyDescent="0.35">
      <c r="A463" s="4" t="s">
        <v>1006</v>
      </c>
      <c r="B463" s="4">
        <v>2021</v>
      </c>
      <c r="C463" s="4" t="s">
        <v>9</v>
      </c>
      <c r="D463" s="9">
        <v>3</v>
      </c>
      <c r="E463" s="10" t="s">
        <v>581</v>
      </c>
      <c r="F463" s="4">
        <v>15</v>
      </c>
      <c r="G463" s="4" t="s">
        <v>1137</v>
      </c>
      <c r="H463" s="4" t="s">
        <v>1138</v>
      </c>
    </row>
    <row r="464" spans="1:8" ht="15.5" x14ac:dyDescent="0.35">
      <c r="A464" s="4" t="s">
        <v>1006</v>
      </c>
      <c r="B464" s="4">
        <v>2022</v>
      </c>
      <c r="C464" s="4" t="s">
        <v>9</v>
      </c>
      <c r="D464" s="9">
        <v>6</v>
      </c>
      <c r="E464" s="10" t="s">
        <v>364</v>
      </c>
      <c r="F464" s="4">
        <v>13</v>
      </c>
      <c r="G464" s="4" t="s">
        <v>1139</v>
      </c>
      <c r="H464" s="4" t="s">
        <v>1140</v>
      </c>
    </row>
    <row r="465" spans="1:8" ht="15.5" x14ac:dyDescent="0.35">
      <c r="A465" s="4" t="s">
        <v>1141</v>
      </c>
      <c r="B465" s="4">
        <v>1974</v>
      </c>
      <c r="C465" s="4"/>
      <c r="D465" s="9">
        <v>7</v>
      </c>
      <c r="E465" s="10" t="s">
        <v>1142</v>
      </c>
      <c r="F465" s="4">
        <v>5</v>
      </c>
      <c r="G465" s="4" t="s">
        <v>1143</v>
      </c>
      <c r="H465" s="4" t="s">
        <v>1144</v>
      </c>
    </row>
    <row r="466" spans="1:8" ht="15.5" x14ac:dyDescent="0.35">
      <c r="A466" s="4" t="s">
        <v>1141</v>
      </c>
      <c r="B466" s="4">
        <v>1976</v>
      </c>
      <c r="C466" s="4"/>
      <c r="D466" s="9">
        <v>20</v>
      </c>
      <c r="E466" s="10" t="s">
        <v>1145</v>
      </c>
      <c r="F466" s="4">
        <v>10</v>
      </c>
      <c r="G466" s="4" t="s">
        <v>1146</v>
      </c>
      <c r="H466" s="4" t="s">
        <v>1147</v>
      </c>
    </row>
    <row r="467" spans="1:8" ht="15.5" x14ac:dyDescent="0.35">
      <c r="A467" s="4" t="s">
        <v>1141</v>
      </c>
      <c r="B467" s="4">
        <v>1977</v>
      </c>
      <c r="C467" s="4"/>
      <c r="D467" s="9">
        <v>92</v>
      </c>
      <c r="E467" s="10" t="s">
        <v>127</v>
      </c>
      <c r="F467" s="4">
        <v>10</v>
      </c>
      <c r="G467" s="4" t="s">
        <v>1148</v>
      </c>
      <c r="H467" s="4" t="s">
        <v>1149</v>
      </c>
    </row>
    <row r="468" spans="1:8" ht="15.5" x14ac:dyDescent="0.35">
      <c r="A468" s="4" t="s">
        <v>1141</v>
      </c>
      <c r="B468" s="4">
        <v>1978</v>
      </c>
      <c r="C468" s="4"/>
      <c r="D468" s="9">
        <v>66</v>
      </c>
      <c r="E468" s="10" t="s">
        <v>905</v>
      </c>
      <c r="F468" s="4">
        <v>15</v>
      </c>
      <c r="G468" s="4" t="s">
        <v>1150</v>
      </c>
      <c r="H468" s="4" t="s">
        <v>1151</v>
      </c>
    </row>
    <row r="469" spans="1:8" ht="15.5" x14ac:dyDescent="0.35">
      <c r="A469" s="4" t="s">
        <v>1141</v>
      </c>
      <c r="B469" s="4">
        <v>1979</v>
      </c>
      <c r="C469" s="4"/>
      <c r="D469" s="9">
        <v>69</v>
      </c>
      <c r="E469" s="10" t="s">
        <v>141</v>
      </c>
      <c r="F469" s="4">
        <v>7</v>
      </c>
      <c r="G469" s="4" t="s">
        <v>522</v>
      </c>
      <c r="H469" s="4" t="s">
        <v>1152</v>
      </c>
    </row>
    <row r="470" spans="1:8" ht="15.5" x14ac:dyDescent="0.35">
      <c r="A470" s="4" t="s">
        <v>1141</v>
      </c>
      <c r="B470" s="4">
        <v>1980</v>
      </c>
      <c r="C470" s="4"/>
      <c r="D470" s="9">
        <v>30</v>
      </c>
      <c r="E470" s="10" t="s">
        <v>1065</v>
      </c>
      <c r="F470" s="4">
        <v>3</v>
      </c>
      <c r="G470" s="4" t="s">
        <v>1153</v>
      </c>
      <c r="H470" s="4" t="s">
        <v>1154</v>
      </c>
    </row>
    <row r="471" spans="1:8" ht="15.5" x14ac:dyDescent="0.35">
      <c r="A471" s="4" t="s">
        <v>1141</v>
      </c>
      <c r="B471" s="4">
        <v>1981</v>
      </c>
      <c r="C471" s="4"/>
      <c r="D471" s="9">
        <v>55</v>
      </c>
      <c r="E471" s="10" t="s">
        <v>905</v>
      </c>
      <c r="F471" s="4">
        <v>17</v>
      </c>
      <c r="G471" s="4" t="s">
        <v>1155</v>
      </c>
      <c r="H471" s="4" t="s">
        <v>1156</v>
      </c>
    </row>
    <row r="472" spans="1:8" ht="15.5" x14ac:dyDescent="0.35">
      <c r="A472" s="4" t="s">
        <v>1141</v>
      </c>
      <c r="B472" s="4">
        <v>1983</v>
      </c>
      <c r="C472" s="4"/>
      <c r="D472" s="9">
        <v>32</v>
      </c>
      <c r="E472" s="10" t="s">
        <v>1157</v>
      </c>
      <c r="F472" s="4">
        <v>10</v>
      </c>
      <c r="G472" s="4" t="s">
        <v>1158</v>
      </c>
      <c r="H472" s="4" t="s">
        <v>1159</v>
      </c>
    </row>
    <row r="473" spans="1:8" ht="15.5" x14ac:dyDescent="0.35">
      <c r="A473" s="4" t="s">
        <v>1141</v>
      </c>
      <c r="B473" s="4">
        <v>1985</v>
      </c>
      <c r="C473" s="4"/>
      <c r="D473" s="9">
        <v>15</v>
      </c>
      <c r="E473" s="10" t="s">
        <v>518</v>
      </c>
      <c r="F473" s="4">
        <v>19</v>
      </c>
      <c r="G473" s="4" t="s">
        <v>1160</v>
      </c>
      <c r="H473" s="4" t="s">
        <v>1161</v>
      </c>
    </row>
    <row r="474" spans="1:8" ht="15.5" x14ac:dyDescent="0.35">
      <c r="A474" s="4" t="s">
        <v>1141</v>
      </c>
      <c r="B474" s="4">
        <v>1987</v>
      </c>
      <c r="C474" s="4"/>
      <c r="D474" s="9">
        <v>64</v>
      </c>
      <c r="E474" s="10" t="s">
        <v>169</v>
      </c>
      <c r="F474" s="4">
        <v>11</v>
      </c>
      <c r="G474" s="4" t="s">
        <v>1162</v>
      </c>
      <c r="H474" s="4" t="s">
        <v>1163</v>
      </c>
    </row>
    <row r="475" spans="1:8" ht="15.5" x14ac:dyDescent="0.35">
      <c r="A475" s="4" t="s">
        <v>1141</v>
      </c>
      <c r="B475" s="4">
        <v>1988</v>
      </c>
      <c r="C475" s="4"/>
      <c r="D475" s="9">
        <v>10</v>
      </c>
      <c r="E475" s="10" t="s">
        <v>1164</v>
      </c>
      <c r="F475" s="4">
        <v>14</v>
      </c>
      <c r="G475" s="4" t="s">
        <v>1165</v>
      </c>
      <c r="H475" s="4" t="s">
        <v>1166</v>
      </c>
    </row>
    <row r="476" spans="1:8" ht="15.5" x14ac:dyDescent="0.35">
      <c r="A476" s="4" t="s">
        <v>1141</v>
      </c>
      <c r="B476" s="4">
        <v>1989</v>
      </c>
      <c r="C476" s="4"/>
      <c r="D476" s="9">
        <v>56</v>
      </c>
      <c r="E476" s="10" t="s">
        <v>532</v>
      </c>
      <c r="F476" s="4">
        <v>19</v>
      </c>
      <c r="G476" s="4" t="s">
        <v>1167</v>
      </c>
      <c r="H476" s="4" t="s">
        <v>1168</v>
      </c>
    </row>
    <row r="477" spans="1:8" ht="15.5" x14ac:dyDescent="0.35">
      <c r="A477" s="4" t="s">
        <v>1141</v>
      </c>
      <c r="B477" s="4">
        <v>1990</v>
      </c>
      <c r="C477" s="4"/>
      <c r="D477" s="9">
        <v>11</v>
      </c>
      <c r="E477" s="10" t="s">
        <v>352</v>
      </c>
      <c r="F477" s="4">
        <v>2</v>
      </c>
      <c r="G477" s="4" t="s">
        <v>1169</v>
      </c>
      <c r="H477" s="4" t="s">
        <v>1170</v>
      </c>
    </row>
    <row r="478" spans="1:8" ht="15.5" x14ac:dyDescent="0.35">
      <c r="A478" s="4" t="s">
        <v>1141</v>
      </c>
      <c r="B478" s="4">
        <v>1991</v>
      </c>
      <c r="C478" s="4"/>
      <c r="D478" s="9">
        <v>36</v>
      </c>
      <c r="E478" s="10" t="s">
        <v>1171</v>
      </c>
      <c r="F478" s="4">
        <v>4</v>
      </c>
      <c r="G478" s="4" t="s">
        <v>1172</v>
      </c>
      <c r="H478" s="4" t="s">
        <v>1173</v>
      </c>
    </row>
    <row r="479" spans="1:8" ht="15.5" x14ac:dyDescent="0.35">
      <c r="A479" s="4" t="s">
        <v>1141</v>
      </c>
      <c r="B479" s="4">
        <v>1992</v>
      </c>
      <c r="C479" s="4"/>
      <c r="D479" s="9">
        <v>94</v>
      </c>
      <c r="E479" s="10" t="s">
        <v>656</v>
      </c>
      <c r="F479" s="4">
        <v>5</v>
      </c>
      <c r="G479" s="4" t="s">
        <v>1174</v>
      </c>
      <c r="H479" s="4" t="s">
        <v>1175</v>
      </c>
    </row>
    <row r="480" spans="1:8" ht="15.5" x14ac:dyDescent="0.35">
      <c r="A480" s="4" t="s">
        <v>1141</v>
      </c>
      <c r="B480" s="4">
        <v>1993</v>
      </c>
      <c r="C480" s="4"/>
      <c r="D480" s="9">
        <v>64</v>
      </c>
      <c r="E480" s="10" t="s">
        <v>444</v>
      </c>
      <c r="F480" s="4">
        <v>6</v>
      </c>
      <c r="G480" s="4" t="s">
        <v>1176</v>
      </c>
      <c r="H480" s="4" t="s">
        <v>1177</v>
      </c>
    </row>
    <row r="481" spans="1:8" ht="15.5" x14ac:dyDescent="0.35">
      <c r="A481" s="4" t="s">
        <v>1141</v>
      </c>
      <c r="B481" s="4">
        <v>1994</v>
      </c>
      <c r="C481" s="4"/>
      <c r="D481" s="9">
        <v>44</v>
      </c>
      <c r="E481" s="10" t="s">
        <v>177</v>
      </c>
      <c r="F481" s="4">
        <v>19</v>
      </c>
      <c r="G481" s="4" t="s">
        <v>1178</v>
      </c>
      <c r="H481" s="4" t="s">
        <v>1179</v>
      </c>
    </row>
    <row r="482" spans="1:8" ht="15.5" x14ac:dyDescent="0.35">
      <c r="A482" s="4" t="s">
        <v>1141</v>
      </c>
      <c r="B482" s="4">
        <v>1995</v>
      </c>
      <c r="C482" s="4"/>
      <c r="D482" s="9">
        <v>68</v>
      </c>
      <c r="E482" s="10" t="s">
        <v>375</v>
      </c>
      <c r="F482" s="4">
        <v>23</v>
      </c>
      <c r="G482" s="4" t="s">
        <v>1180</v>
      </c>
      <c r="H482" s="4" t="s">
        <v>1181</v>
      </c>
    </row>
    <row r="483" spans="1:8" ht="15.5" x14ac:dyDescent="0.35">
      <c r="A483" s="4" t="s">
        <v>1141</v>
      </c>
      <c r="B483" s="4">
        <v>1996</v>
      </c>
      <c r="C483" s="4"/>
      <c r="D483" s="9">
        <v>36</v>
      </c>
      <c r="E483" s="10" t="s">
        <v>424</v>
      </c>
      <c r="F483" s="4">
        <v>10</v>
      </c>
      <c r="G483" s="4" t="s">
        <v>1182</v>
      </c>
      <c r="H483" s="4" t="s">
        <v>1183</v>
      </c>
    </row>
    <row r="484" spans="1:8" ht="15.5" x14ac:dyDescent="0.35">
      <c r="A484" s="4" t="s">
        <v>1141</v>
      </c>
      <c r="B484" s="4">
        <v>1997</v>
      </c>
      <c r="C484" s="4"/>
      <c r="D484" s="9">
        <v>39</v>
      </c>
      <c r="E484" s="10" t="s">
        <v>704</v>
      </c>
      <c r="F484" s="4">
        <v>17</v>
      </c>
      <c r="G484" s="4" t="s">
        <v>1184</v>
      </c>
      <c r="H484" s="4" t="s">
        <v>1185</v>
      </c>
    </row>
    <row r="485" spans="1:8" ht="15.5" x14ac:dyDescent="0.35">
      <c r="A485" s="4" t="s">
        <v>1141</v>
      </c>
      <c r="B485" s="4">
        <v>1998</v>
      </c>
      <c r="C485" s="4"/>
      <c r="D485" s="9">
        <v>12</v>
      </c>
      <c r="E485" s="10" t="s">
        <v>68</v>
      </c>
      <c r="F485" s="4">
        <v>2</v>
      </c>
      <c r="G485" s="4" t="s">
        <v>1186</v>
      </c>
      <c r="H485" s="4" t="s">
        <v>1187</v>
      </c>
    </row>
    <row r="486" spans="1:8" ht="15.5" x14ac:dyDescent="0.35">
      <c r="A486" s="4" t="s">
        <v>1141</v>
      </c>
      <c r="B486" s="4">
        <v>2001</v>
      </c>
      <c r="C486" s="4"/>
      <c r="D486" s="9">
        <v>147</v>
      </c>
      <c r="E486" s="10" t="s">
        <v>1093</v>
      </c>
      <c r="F486" s="4">
        <v>22</v>
      </c>
      <c r="G486" s="4" t="s">
        <v>1188</v>
      </c>
      <c r="H486" s="4" t="s">
        <v>1189</v>
      </c>
    </row>
    <row r="487" spans="1:8" ht="15.5" x14ac:dyDescent="0.35">
      <c r="A487" s="4" t="s">
        <v>1141</v>
      </c>
      <c r="B487" s="4">
        <v>2002</v>
      </c>
      <c r="C487" s="4"/>
      <c r="D487" s="9">
        <v>27</v>
      </c>
      <c r="E487" s="10" t="s">
        <v>826</v>
      </c>
      <c r="F487" s="4">
        <v>4</v>
      </c>
      <c r="G487" s="4" t="s">
        <v>1190</v>
      </c>
      <c r="H487" s="4" t="s">
        <v>1191</v>
      </c>
    </row>
    <row r="488" spans="1:8" ht="15.5" x14ac:dyDescent="0.35">
      <c r="A488" s="4" t="s">
        <v>1141</v>
      </c>
      <c r="B488" s="4">
        <v>2003</v>
      </c>
      <c r="C488" s="4"/>
      <c r="D488" s="9">
        <v>25</v>
      </c>
      <c r="E488" s="10" t="s">
        <v>33</v>
      </c>
      <c r="F488" s="4">
        <v>17</v>
      </c>
      <c r="G488" s="4" t="s">
        <v>1192</v>
      </c>
      <c r="H488" s="4" t="s">
        <v>1193</v>
      </c>
    </row>
    <row r="489" spans="1:8" ht="15.5" x14ac:dyDescent="0.35">
      <c r="A489" s="4" t="s">
        <v>1141</v>
      </c>
      <c r="B489" s="4">
        <v>2004</v>
      </c>
      <c r="C489" s="4" t="s">
        <v>9</v>
      </c>
      <c r="D489" s="9">
        <v>252</v>
      </c>
      <c r="E489" s="10" t="s">
        <v>436</v>
      </c>
      <c r="F489" s="4">
        <v>16</v>
      </c>
      <c r="G489" s="4" t="s">
        <v>1194</v>
      </c>
      <c r="H489" s="4" t="s">
        <v>1195</v>
      </c>
    </row>
    <row r="490" spans="1:8" ht="15.5" x14ac:dyDescent="0.35">
      <c r="A490" s="4" t="s">
        <v>1141</v>
      </c>
      <c r="B490" s="4">
        <v>2005</v>
      </c>
      <c r="C490" s="4" t="s">
        <v>9</v>
      </c>
      <c r="D490" s="9">
        <v>230</v>
      </c>
      <c r="E490" s="10" t="s">
        <v>664</v>
      </c>
      <c r="F490" s="4">
        <v>19</v>
      </c>
      <c r="G490" s="4" t="s">
        <v>1196</v>
      </c>
      <c r="H490" s="4" t="s">
        <v>1197</v>
      </c>
    </row>
    <row r="491" spans="1:8" ht="15.5" x14ac:dyDescent="0.35">
      <c r="A491" s="4" t="s">
        <v>1141</v>
      </c>
      <c r="B491" s="4">
        <v>2006</v>
      </c>
      <c r="C491" s="4" t="s">
        <v>9</v>
      </c>
      <c r="D491" s="9">
        <v>128</v>
      </c>
      <c r="E491" s="10" t="s">
        <v>431</v>
      </c>
      <c r="F491" s="4">
        <v>16</v>
      </c>
      <c r="G491" s="4" t="s">
        <v>511</v>
      </c>
      <c r="H491" s="4" t="s">
        <v>1198</v>
      </c>
    </row>
    <row r="492" spans="1:8" ht="15.5" x14ac:dyDescent="0.35">
      <c r="A492" s="4" t="s">
        <v>1141</v>
      </c>
      <c r="B492" s="4">
        <v>2007</v>
      </c>
      <c r="C492" s="4" t="s">
        <v>9</v>
      </c>
      <c r="D492" s="9">
        <v>139</v>
      </c>
      <c r="E492" s="10" t="s">
        <v>10</v>
      </c>
      <c r="F492" s="4">
        <v>10</v>
      </c>
      <c r="G492" s="4" t="s">
        <v>1199</v>
      </c>
      <c r="H492" s="4" t="s">
        <v>1200</v>
      </c>
    </row>
    <row r="493" spans="1:8" ht="15.5" x14ac:dyDescent="0.35">
      <c r="A493" s="4" t="s">
        <v>1141</v>
      </c>
      <c r="B493" s="4">
        <v>2008</v>
      </c>
      <c r="C493" s="4" t="s">
        <v>9</v>
      </c>
      <c r="D493" s="9">
        <v>218</v>
      </c>
      <c r="E493" s="10" t="s">
        <v>225</v>
      </c>
      <c r="F493" s="4">
        <v>21</v>
      </c>
      <c r="G493" s="4" t="s">
        <v>1201</v>
      </c>
      <c r="H493" s="4" t="s">
        <v>1202</v>
      </c>
    </row>
    <row r="494" spans="1:8" ht="15.5" x14ac:dyDescent="0.35">
      <c r="A494" s="4" t="s">
        <v>1141</v>
      </c>
      <c r="B494" s="4">
        <v>2009</v>
      </c>
      <c r="C494" s="4" t="s">
        <v>9</v>
      </c>
      <c r="D494" s="9">
        <v>120</v>
      </c>
      <c r="E494" s="10" t="s">
        <v>51</v>
      </c>
      <c r="F494" s="4">
        <v>8</v>
      </c>
      <c r="G494" s="4" t="s">
        <v>1194</v>
      </c>
      <c r="H494" s="4" t="s">
        <v>1203</v>
      </c>
    </row>
    <row r="495" spans="1:8" ht="15.5" x14ac:dyDescent="0.35">
      <c r="A495" s="4" t="s">
        <v>1141</v>
      </c>
      <c r="B495" s="4">
        <v>2010</v>
      </c>
      <c r="C495" s="4" t="s">
        <v>9</v>
      </c>
      <c r="D495" s="9">
        <v>140</v>
      </c>
      <c r="E495" s="10" t="s">
        <v>222</v>
      </c>
      <c r="F495" s="4">
        <v>11</v>
      </c>
      <c r="G495" s="4" t="s">
        <v>1204</v>
      </c>
      <c r="H495" s="4" t="s">
        <v>1205</v>
      </c>
    </row>
    <row r="496" spans="1:8" ht="15.5" x14ac:dyDescent="0.35">
      <c r="A496" s="4" t="s">
        <v>1141</v>
      </c>
      <c r="B496" s="4">
        <v>2011</v>
      </c>
      <c r="C496" s="4" t="s">
        <v>9</v>
      </c>
      <c r="D496" s="9">
        <v>120</v>
      </c>
      <c r="E496" s="10" t="s">
        <v>51</v>
      </c>
      <c r="F496" s="4">
        <v>9</v>
      </c>
      <c r="G496" s="4" t="s">
        <v>1206</v>
      </c>
      <c r="H496" s="4" t="s">
        <v>1207</v>
      </c>
    </row>
    <row r="497" spans="1:8" ht="15.5" x14ac:dyDescent="0.35">
      <c r="A497" s="4" t="s">
        <v>1141</v>
      </c>
      <c r="B497" s="4">
        <v>2012</v>
      </c>
      <c r="C497" s="4" t="s">
        <v>9</v>
      </c>
      <c r="D497" s="9">
        <v>64</v>
      </c>
      <c r="E497" s="10" t="s">
        <v>33</v>
      </c>
      <c r="F497" s="4">
        <v>16</v>
      </c>
      <c r="G497" s="4" t="s">
        <v>1208</v>
      </c>
      <c r="H497" s="4" t="s">
        <v>1209</v>
      </c>
    </row>
    <row r="498" spans="1:8" ht="15.5" x14ac:dyDescent="0.35">
      <c r="A498" s="4" t="s">
        <v>1141</v>
      </c>
      <c r="B498" s="4">
        <v>2013</v>
      </c>
      <c r="C498" s="4" t="s">
        <v>9</v>
      </c>
      <c r="D498" s="9">
        <v>152</v>
      </c>
      <c r="E498" s="10" t="s">
        <v>197</v>
      </c>
      <c r="F498" s="4">
        <v>21</v>
      </c>
      <c r="G498" s="4" t="s">
        <v>1210</v>
      </c>
      <c r="H498" s="4" t="s">
        <v>1211</v>
      </c>
    </row>
    <row r="499" spans="1:8" ht="15.5" x14ac:dyDescent="0.35">
      <c r="A499" s="4" t="s">
        <v>1141</v>
      </c>
      <c r="B499" s="4">
        <v>2014</v>
      </c>
      <c r="C499" s="4" t="s">
        <v>9</v>
      </c>
      <c r="D499" s="9">
        <v>35</v>
      </c>
      <c r="E499" s="10" t="s">
        <v>81</v>
      </c>
      <c r="F499" s="4">
        <v>10</v>
      </c>
      <c r="G499" s="4" t="s">
        <v>1212</v>
      </c>
      <c r="H499" s="4" t="s">
        <v>1213</v>
      </c>
    </row>
    <row r="500" spans="1:8" ht="15.5" x14ac:dyDescent="0.35">
      <c r="A500" s="4" t="s">
        <v>1141</v>
      </c>
      <c r="B500" s="4">
        <v>2015</v>
      </c>
      <c r="C500" s="4" t="s">
        <v>9</v>
      </c>
      <c r="D500" s="9">
        <v>23</v>
      </c>
      <c r="E500" s="10" t="s">
        <v>1214</v>
      </c>
      <c r="F500" s="4">
        <v>15</v>
      </c>
      <c r="G500" s="4" t="s">
        <v>1215</v>
      </c>
      <c r="H500" s="4" t="s">
        <v>1216</v>
      </c>
    </row>
    <row r="501" spans="1:8" ht="15.5" x14ac:dyDescent="0.35">
      <c r="A501" s="4" t="s">
        <v>1141</v>
      </c>
      <c r="B501" s="4">
        <v>2017</v>
      </c>
      <c r="C501" s="4" t="s">
        <v>9</v>
      </c>
      <c r="D501" s="9">
        <v>77</v>
      </c>
      <c r="E501" s="10" t="s">
        <v>402</v>
      </c>
      <c r="F501" s="4">
        <v>15</v>
      </c>
      <c r="G501" s="4" t="s">
        <v>1217</v>
      </c>
      <c r="H501" s="4" t="s">
        <v>1218</v>
      </c>
    </row>
    <row r="502" spans="1:8" ht="15.5" x14ac:dyDescent="0.35">
      <c r="A502" s="4" t="s">
        <v>1141</v>
      </c>
      <c r="B502" s="4">
        <v>2019</v>
      </c>
      <c r="C502" s="4" t="s">
        <v>9</v>
      </c>
      <c r="D502" s="9">
        <v>74</v>
      </c>
      <c r="E502" s="10" t="s">
        <v>36</v>
      </c>
      <c r="F502" s="4">
        <v>13</v>
      </c>
      <c r="G502" s="4" t="s">
        <v>1219</v>
      </c>
      <c r="H502" s="4" t="s">
        <v>1220</v>
      </c>
    </row>
    <row r="503" spans="1:8" ht="15.5" x14ac:dyDescent="0.35">
      <c r="A503" s="4" t="s">
        <v>1141</v>
      </c>
      <c r="B503" s="4">
        <v>2021</v>
      </c>
      <c r="C503" s="4" t="s">
        <v>9</v>
      </c>
      <c r="D503" s="9">
        <v>170</v>
      </c>
      <c r="E503" s="10" t="s">
        <v>397</v>
      </c>
      <c r="F503" s="4">
        <v>10</v>
      </c>
      <c r="G503" s="4" t="s">
        <v>1221</v>
      </c>
      <c r="H503" s="4" t="s">
        <v>1222</v>
      </c>
    </row>
    <row r="504" spans="1:8" ht="15.5" x14ac:dyDescent="0.35">
      <c r="A504" s="4" t="s">
        <v>1141</v>
      </c>
      <c r="B504" s="4">
        <v>2022</v>
      </c>
      <c r="C504" s="4" t="s">
        <v>9</v>
      </c>
      <c r="D504" s="9">
        <v>215</v>
      </c>
      <c r="E504" s="10" t="s">
        <v>222</v>
      </c>
      <c r="F504" s="4">
        <v>17</v>
      </c>
      <c r="G504" s="4" t="s">
        <v>1223</v>
      </c>
      <c r="H504" s="4" t="s">
        <v>1224</v>
      </c>
    </row>
    <row r="505" spans="1:8" ht="15.5" x14ac:dyDescent="0.35">
      <c r="A505" s="4" t="s">
        <v>1225</v>
      </c>
      <c r="B505" s="4">
        <v>1994</v>
      </c>
      <c r="C505" s="4"/>
      <c r="D505" s="9">
        <v>122</v>
      </c>
      <c r="E505" s="10" t="s">
        <v>45</v>
      </c>
      <c r="F505" s="4">
        <v>22</v>
      </c>
      <c r="G505" s="4" t="s">
        <v>1226</v>
      </c>
      <c r="H505" s="4" t="s">
        <v>1227</v>
      </c>
    </row>
    <row r="506" spans="1:8" ht="15.5" x14ac:dyDescent="0.35">
      <c r="A506" s="4" t="s">
        <v>1225</v>
      </c>
      <c r="B506" s="4">
        <v>1995</v>
      </c>
      <c r="C506" s="4"/>
      <c r="D506" s="9">
        <v>3</v>
      </c>
      <c r="E506" s="10" t="s">
        <v>416</v>
      </c>
      <c r="F506" s="4">
        <v>13</v>
      </c>
      <c r="G506" s="4" t="s">
        <v>1228</v>
      </c>
      <c r="H506" s="4" t="s">
        <v>1229</v>
      </c>
    </row>
    <row r="507" spans="1:8" ht="15.5" x14ac:dyDescent="0.35">
      <c r="A507" s="4" t="s">
        <v>1225</v>
      </c>
      <c r="B507" s="4">
        <v>1997</v>
      </c>
      <c r="C507" s="4"/>
      <c r="D507" s="9">
        <v>39</v>
      </c>
      <c r="E507" s="10" t="s">
        <v>704</v>
      </c>
      <c r="F507" s="4">
        <v>19</v>
      </c>
      <c r="G507" s="4" t="s">
        <v>1230</v>
      </c>
      <c r="H507" s="4" t="s">
        <v>1231</v>
      </c>
    </row>
    <row r="508" spans="1:8" ht="15.5" x14ac:dyDescent="0.35">
      <c r="A508" s="4" t="s">
        <v>1225</v>
      </c>
      <c r="B508" s="4">
        <v>1998</v>
      </c>
      <c r="C508" s="4"/>
      <c r="D508" s="9">
        <v>4</v>
      </c>
      <c r="E508" s="10" t="s">
        <v>1113</v>
      </c>
      <c r="F508" s="4">
        <v>11</v>
      </c>
      <c r="G508" s="4" t="s">
        <v>1232</v>
      </c>
      <c r="H508" s="4" t="s">
        <v>1233</v>
      </c>
    </row>
    <row r="509" spans="1:8" ht="15.5" x14ac:dyDescent="0.35">
      <c r="A509" s="4" t="s">
        <v>1225</v>
      </c>
      <c r="B509" s="4">
        <v>2005</v>
      </c>
      <c r="C509" s="4" t="s">
        <v>9</v>
      </c>
      <c r="D509" s="9">
        <v>97</v>
      </c>
      <c r="E509" s="10" t="s">
        <v>491</v>
      </c>
      <c r="F509" s="4">
        <v>1</v>
      </c>
      <c r="G509" s="4" t="s">
        <v>1234</v>
      </c>
      <c r="H509" s="4" t="s">
        <v>1235</v>
      </c>
    </row>
    <row r="510" spans="1:8" ht="15.5" x14ac:dyDescent="0.35">
      <c r="A510" s="4" t="s">
        <v>1225</v>
      </c>
      <c r="B510" s="4">
        <v>2007</v>
      </c>
      <c r="C510" s="4" t="s">
        <v>9</v>
      </c>
      <c r="D510" s="9">
        <v>128</v>
      </c>
      <c r="E510" s="10" t="s">
        <v>431</v>
      </c>
      <c r="F510" s="4">
        <v>8</v>
      </c>
      <c r="G510" s="4" t="s">
        <v>1236</v>
      </c>
      <c r="H510" s="4" t="s">
        <v>1237</v>
      </c>
    </row>
    <row r="511" spans="1:8" ht="15.5" x14ac:dyDescent="0.35">
      <c r="A511" s="4" t="s">
        <v>1225</v>
      </c>
      <c r="B511" s="4">
        <v>2011</v>
      </c>
      <c r="C511" s="4" t="s">
        <v>9</v>
      </c>
      <c r="D511" s="9">
        <v>53</v>
      </c>
      <c r="E511" s="10" t="s">
        <v>588</v>
      </c>
      <c r="F511" s="4">
        <v>5</v>
      </c>
      <c r="G511" s="4" t="s">
        <v>1238</v>
      </c>
      <c r="H511" s="4" t="s">
        <v>1239</v>
      </c>
    </row>
    <row r="512" spans="1:8" ht="15.5" x14ac:dyDescent="0.35">
      <c r="A512" s="4" t="s">
        <v>1225</v>
      </c>
      <c r="B512" s="4">
        <v>2012</v>
      </c>
      <c r="C512" s="4" t="s">
        <v>9</v>
      </c>
      <c r="D512" s="9">
        <v>19</v>
      </c>
      <c r="E512" s="10" t="s">
        <v>269</v>
      </c>
      <c r="F512" s="4">
        <v>2</v>
      </c>
      <c r="G512" s="4" t="s">
        <v>1240</v>
      </c>
      <c r="H512" s="4" t="s">
        <v>1241</v>
      </c>
    </row>
    <row r="513" spans="1:8" ht="15.5" x14ac:dyDescent="0.35">
      <c r="A513" s="4" t="s">
        <v>1225</v>
      </c>
      <c r="B513" s="4">
        <v>2013</v>
      </c>
      <c r="C513" s="4" t="s">
        <v>9</v>
      </c>
      <c r="D513" s="9">
        <v>84</v>
      </c>
      <c r="E513" s="10" t="s">
        <v>397</v>
      </c>
      <c r="F513" s="4">
        <v>17</v>
      </c>
      <c r="G513" s="4" t="s">
        <v>1242</v>
      </c>
      <c r="H513" s="4" t="s">
        <v>1243</v>
      </c>
    </row>
    <row r="514" spans="1:8" ht="15.5" x14ac:dyDescent="0.35">
      <c r="A514" s="4" t="s">
        <v>1225</v>
      </c>
      <c r="B514" s="4">
        <v>2014</v>
      </c>
      <c r="C514" s="4" t="s">
        <v>9</v>
      </c>
      <c r="D514" s="9">
        <v>143</v>
      </c>
      <c r="E514" s="10" t="s">
        <v>24</v>
      </c>
      <c r="F514" s="4">
        <v>21</v>
      </c>
      <c r="G514" s="4" t="s">
        <v>1244</v>
      </c>
      <c r="H514" s="4" t="s">
        <v>1245</v>
      </c>
    </row>
    <row r="515" spans="1:8" ht="15.5" x14ac:dyDescent="0.35">
      <c r="A515" s="4" t="s">
        <v>1225</v>
      </c>
      <c r="B515" s="4">
        <v>2015</v>
      </c>
      <c r="C515" s="4" t="s">
        <v>9</v>
      </c>
      <c r="D515" s="9">
        <v>19</v>
      </c>
      <c r="E515" s="10" t="s">
        <v>1246</v>
      </c>
      <c r="F515" s="4">
        <v>22</v>
      </c>
      <c r="G515" s="4" t="s">
        <v>1247</v>
      </c>
      <c r="H515" s="4" t="s">
        <v>1248</v>
      </c>
    </row>
    <row r="516" spans="1:8" ht="15.5" x14ac:dyDescent="0.35">
      <c r="A516" s="4" t="s">
        <v>1225</v>
      </c>
      <c r="B516" s="4">
        <v>2016</v>
      </c>
      <c r="C516" s="4" t="s">
        <v>9</v>
      </c>
      <c r="D516" s="9">
        <v>108</v>
      </c>
      <c r="E516" s="10" t="s">
        <v>402</v>
      </c>
      <c r="F516" s="4">
        <v>5</v>
      </c>
      <c r="G516" s="4" t="s">
        <v>1249</v>
      </c>
      <c r="H516" s="4" t="s">
        <v>1250</v>
      </c>
    </row>
    <row r="517" spans="1:8" ht="15.5" x14ac:dyDescent="0.35">
      <c r="A517" s="4" t="s">
        <v>1225</v>
      </c>
      <c r="B517" s="4">
        <v>2017</v>
      </c>
      <c r="C517" s="4" t="s">
        <v>9</v>
      </c>
      <c r="D517" s="9">
        <v>200</v>
      </c>
      <c r="E517" s="10" t="s">
        <v>249</v>
      </c>
      <c r="F517" s="4">
        <v>8</v>
      </c>
      <c r="G517" s="4" t="s">
        <v>1251</v>
      </c>
      <c r="H517" s="4" t="s">
        <v>1252</v>
      </c>
    </row>
    <row r="518" spans="1:8" ht="15.5" x14ac:dyDescent="0.35">
      <c r="A518" s="4" t="s">
        <v>1225</v>
      </c>
      <c r="B518" s="4">
        <v>2018</v>
      </c>
      <c r="C518" s="4" t="s">
        <v>9</v>
      </c>
      <c r="D518" s="9">
        <v>93</v>
      </c>
      <c r="E518" s="10" t="s">
        <v>36</v>
      </c>
      <c r="F518" s="4">
        <v>21</v>
      </c>
      <c r="G518" s="4" t="s">
        <v>1253</v>
      </c>
      <c r="H518" s="4" t="s">
        <v>1254</v>
      </c>
    </row>
    <row r="519" spans="1:8" ht="15.5" x14ac:dyDescent="0.35">
      <c r="A519" s="4" t="s">
        <v>1255</v>
      </c>
      <c r="B519" s="4">
        <v>1986</v>
      </c>
      <c r="C519" s="4"/>
      <c r="D519" s="9">
        <v>19</v>
      </c>
      <c r="E519" s="10" t="s">
        <v>513</v>
      </c>
      <c r="F519" s="4">
        <v>6</v>
      </c>
      <c r="G519" s="4" t="s">
        <v>1256</v>
      </c>
      <c r="H519" s="4" t="s">
        <v>1257</v>
      </c>
    </row>
    <row r="520" spans="1:8" ht="15.5" x14ac:dyDescent="0.35">
      <c r="A520" s="4" t="s">
        <v>1255</v>
      </c>
      <c r="B520" s="4">
        <v>1987</v>
      </c>
      <c r="C520" s="4"/>
      <c r="D520" s="9">
        <v>28</v>
      </c>
      <c r="E520" s="10" t="s">
        <v>358</v>
      </c>
      <c r="F520" s="4">
        <v>4</v>
      </c>
      <c r="G520" s="4" t="s">
        <v>1258</v>
      </c>
      <c r="H520" s="4" t="s">
        <v>1259</v>
      </c>
    </row>
    <row r="521" spans="1:8" ht="15.5" x14ac:dyDescent="0.35">
      <c r="A521" s="4" t="s">
        <v>1255</v>
      </c>
      <c r="B521" s="4">
        <v>1988</v>
      </c>
      <c r="C521" s="4"/>
      <c r="D521" s="9">
        <v>20</v>
      </c>
      <c r="E521" s="10" t="s">
        <v>1260</v>
      </c>
      <c r="F521" s="4">
        <v>1</v>
      </c>
      <c r="G521" s="4" t="s">
        <v>1261</v>
      </c>
      <c r="H521" s="4" t="s">
        <v>1262</v>
      </c>
    </row>
    <row r="522" spans="1:8" ht="15.5" x14ac:dyDescent="0.35">
      <c r="A522" s="4" t="s">
        <v>1255</v>
      </c>
      <c r="B522" s="4">
        <v>1989</v>
      </c>
      <c r="C522" s="4"/>
      <c r="D522" s="9">
        <v>0</v>
      </c>
      <c r="E522" s="10" t="s">
        <v>172</v>
      </c>
      <c r="F522" s="4">
        <v>20</v>
      </c>
      <c r="G522" s="4" t="s">
        <v>1263</v>
      </c>
      <c r="H522" s="4" t="s">
        <v>1264</v>
      </c>
    </row>
    <row r="523" spans="1:8" ht="15.5" x14ac:dyDescent="0.35">
      <c r="A523" s="4" t="s">
        <v>1255</v>
      </c>
      <c r="B523" s="4">
        <v>1990</v>
      </c>
      <c r="C523" s="4"/>
      <c r="D523" s="9">
        <v>124</v>
      </c>
      <c r="E523" s="10" t="s">
        <v>1265</v>
      </c>
      <c r="F523" s="4">
        <v>8</v>
      </c>
      <c r="G523" s="4" t="s">
        <v>1266</v>
      </c>
      <c r="H523" s="4" t="s">
        <v>1267</v>
      </c>
    </row>
    <row r="524" spans="1:8" ht="15.5" x14ac:dyDescent="0.35">
      <c r="A524" s="4" t="s">
        <v>1255</v>
      </c>
      <c r="B524" s="4">
        <v>1991</v>
      </c>
      <c r="C524" s="4"/>
      <c r="D524" s="9">
        <v>26</v>
      </c>
      <c r="E524" s="10" t="s">
        <v>796</v>
      </c>
      <c r="F524" s="4">
        <v>2</v>
      </c>
      <c r="G524" s="4" t="s">
        <v>1268</v>
      </c>
      <c r="H524" s="4" t="s">
        <v>1269</v>
      </c>
    </row>
    <row r="525" spans="1:8" ht="15.5" x14ac:dyDescent="0.35">
      <c r="A525" s="4" t="s">
        <v>1255</v>
      </c>
      <c r="B525" s="4">
        <v>1992</v>
      </c>
      <c r="C525" s="4"/>
      <c r="D525" s="9">
        <v>80</v>
      </c>
      <c r="E525" s="10" t="s">
        <v>421</v>
      </c>
      <c r="F525" s="4">
        <v>11</v>
      </c>
      <c r="G525" s="4" t="s">
        <v>1270</v>
      </c>
      <c r="H525" s="4" t="s">
        <v>1271</v>
      </c>
    </row>
    <row r="526" spans="1:8" ht="15.5" x14ac:dyDescent="0.35">
      <c r="A526" s="4" t="s">
        <v>1255</v>
      </c>
      <c r="B526" s="4">
        <v>1993</v>
      </c>
      <c r="C526" s="4"/>
      <c r="D526" s="9">
        <v>42</v>
      </c>
      <c r="E526" s="10" t="s">
        <v>678</v>
      </c>
      <c r="F526" s="4">
        <v>9</v>
      </c>
      <c r="G526" s="4" t="s">
        <v>1272</v>
      </c>
      <c r="H526" s="4" t="s">
        <v>1273</v>
      </c>
    </row>
    <row r="527" spans="1:8" ht="15.5" x14ac:dyDescent="0.35">
      <c r="A527" s="4" t="s">
        <v>1255</v>
      </c>
      <c r="B527" s="4">
        <v>1994</v>
      </c>
      <c r="C527" s="4"/>
      <c r="D527" s="9">
        <v>49</v>
      </c>
      <c r="E527" s="10" t="s">
        <v>704</v>
      </c>
      <c r="F527" s="4">
        <v>5</v>
      </c>
      <c r="G527" s="4" t="s">
        <v>1274</v>
      </c>
      <c r="H527" s="4" t="s">
        <v>1275</v>
      </c>
    </row>
    <row r="528" spans="1:8" ht="15.5" x14ac:dyDescent="0.35">
      <c r="A528" s="4" t="s">
        <v>1255</v>
      </c>
      <c r="B528" s="4">
        <v>1995</v>
      </c>
      <c r="C528" s="4"/>
      <c r="D528" s="9">
        <v>31</v>
      </c>
      <c r="E528" s="10" t="s">
        <v>1276</v>
      </c>
      <c r="F528" s="4">
        <v>7</v>
      </c>
      <c r="G528" s="4" t="s">
        <v>1277</v>
      </c>
      <c r="H528" s="4" t="s">
        <v>1278</v>
      </c>
    </row>
    <row r="529" spans="1:8" ht="15.5" x14ac:dyDescent="0.35">
      <c r="A529" s="4" t="s">
        <v>1255</v>
      </c>
      <c r="B529" s="4">
        <v>1996</v>
      </c>
      <c r="C529" s="4"/>
      <c r="D529" s="9">
        <v>51</v>
      </c>
      <c r="E529" s="10" t="s">
        <v>181</v>
      </c>
      <c r="F529" s="4">
        <v>19</v>
      </c>
      <c r="G529" s="4" t="s">
        <v>1279</v>
      </c>
      <c r="H529" s="4" t="s">
        <v>1280</v>
      </c>
    </row>
    <row r="530" spans="1:8" ht="15.5" x14ac:dyDescent="0.35">
      <c r="A530" s="4" t="s">
        <v>1255</v>
      </c>
      <c r="B530" s="4">
        <v>1997</v>
      </c>
      <c r="C530" s="4"/>
      <c r="D530" s="9">
        <v>18</v>
      </c>
      <c r="E530" s="10" t="s">
        <v>68</v>
      </c>
      <c r="F530" s="4">
        <v>25</v>
      </c>
      <c r="G530" s="4" t="s">
        <v>1281</v>
      </c>
      <c r="H530" s="4" t="s">
        <v>1282</v>
      </c>
    </row>
    <row r="531" spans="1:8" ht="15.5" x14ac:dyDescent="0.35">
      <c r="A531" s="4" t="s">
        <v>1255</v>
      </c>
      <c r="B531" s="4">
        <v>1999</v>
      </c>
      <c r="C531" s="4"/>
      <c r="D531" s="9">
        <v>146</v>
      </c>
      <c r="E531" s="10" t="s">
        <v>667</v>
      </c>
      <c r="F531" s="4">
        <v>13</v>
      </c>
      <c r="G531" s="4" t="s">
        <v>1283</v>
      </c>
      <c r="H531" s="4" t="s">
        <v>1284</v>
      </c>
    </row>
    <row r="532" spans="1:8" ht="15.5" x14ac:dyDescent="0.35">
      <c r="A532" s="4" t="s">
        <v>1255</v>
      </c>
      <c r="B532" s="4">
        <v>2000</v>
      </c>
      <c r="C532" s="4"/>
      <c r="D532" s="9">
        <v>45</v>
      </c>
      <c r="E532" s="10" t="s">
        <v>491</v>
      </c>
      <c r="F532" s="4">
        <v>12</v>
      </c>
      <c r="G532" s="4" t="s">
        <v>1285</v>
      </c>
      <c r="H532" s="4" t="s">
        <v>1286</v>
      </c>
    </row>
    <row r="533" spans="1:8" ht="15.5" x14ac:dyDescent="0.35">
      <c r="A533" s="4" t="s">
        <v>1255</v>
      </c>
      <c r="B533" s="4">
        <v>2001</v>
      </c>
      <c r="C533" s="4"/>
      <c r="D533" s="9">
        <v>3</v>
      </c>
      <c r="E533" s="10" t="s">
        <v>416</v>
      </c>
      <c r="F533" s="4">
        <v>2</v>
      </c>
      <c r="G533" s="4" t="s">
        <v>1287</v>
      </c>
      <c r="H533" s="4" t="s">
        <v>1288</v>
      </c>
    </row>
    <row r="534" spans="1:8" ht="15.5" x14ac:dyDescent="0.35">
      <c r="A534" s="4" t="s">
        <v>1255</v>
      </c>
      <c r="B534" s="4">
        <v>2003</v>
      </c>
      <c r="C534" s="4"/>
      <c r="D534" s="9">
        <v>81</v>
      </c>
      <c r="E534" s="10" t="s">
        <v>249</v>
      </c>
      <c r="F534" s="4">
        <v>1</v>
      </c>
      <c r="G534" s="4" t="s">
        <v>1289</v>
      </c>
      <c r="H534" s="4" t="s">
        <v>1290</v>
      </c>
    </row>
    <row r="535" spans="1:8" ht="15.5" x14ac:dyDescent="0.35">
      <c r="A535" s="4" t="s">
        <v>1255</v>
      </c>
      <c r="B535" s="4">
        <v>2004</v>
      </c>
      <c r="C535" s="4" t="s">
        <v>9</v>
      </c>
      <c r="D535" s="9">
        <v>16</v>
      </c>
      <c r="E535" s="10" t="s">
        <v>1110</v>
      </c>
      <c r="F535" s="4">
        <v>17</v>
      </c>
      <c r="G535" s="4" t="s">
        <v>1291</v>
      </c>
      <c r="H535" s="4" t="s">
        <v>1292</v>
      </c>
    </row>
    <row r="536" spans="1:8" ht="15.5" x14ac:dyDescent="0.35">
      <c r="A536" s="4" t="s">
        <v>1255</v>
      </c>
      <c r="B536" s="4">
        <v>2008</v>
      </c>
      <c r="C536" s="4" t="s">
        <v>9</v>
      </c>
      <c r="D536" s="9">
        <v>64</v>
      </c>
      <c r="E536" s="10" t="s">
        <v>177</v>
      </c>
      <c r="F536" s="4">
        <v>11</v>
      </c>
      <c r="G536" s="4" t="s">
        <v>1293</v>
      </c>
      <c r="H536" s="4" t="s">
        <v>1294</v>
      </c>
    </row>
    <row r="537" spans="1:8" ht="15.5" x14ac:dyDescent="0.35">
      <c r="A537" s="4" t="s">
        <v>1255</v>
      </c>
      <c r="B537" s="4">
        <v>2009</v>
      </c>
      <c r="C537" s="4" t="s">
        <v>9</v>
      </c>
      <c r="D537" s="9">
        <v>218</v>
      </c>
      <c r="E537" s="10" t="s">
        <v>1295</v>
      </c>
      <c r="F537" s="4">
        <v>7</v>
      </c>
      <c r="G537" s="4" t="s">
        <v>1296</v>
      </c>
      <c r="H537" s="4" t="s">
        <v>1297</v>
      </c>
    </row>
    <row r="538" spans="1:8" ht="15.5" x14ac:dyDescent="0.35">
      <c r="A538" s="4" t="s">
        <v>1255</v>
      </c>
      <c r="B538" s="4">
        <v>2010</v>
      </c>
      <c r="C538" s="4" t="s">
        <v>9</v>
      </c>
      <c r="D538" s="9">
        <v>41</v>
      </c>
      <c r="E538" s="10" t="s">
        <v>405</v>
      </c>
      <c r="F538" s="4">
        <v>16</v>
      </c>
      <c r="G538" s="4" t="s">
        <v>1298</v>
      </c>
      <c r="H538" s="4" t="s">
        <v>1299</v>
      </c>
    </row>
    <row r="539" spans="1:8" ht="15.5" x14ac:dyDescent="0.35">
      <c r="A539" s="4" t="s">
        <v>1255</v>
      </c>
      <c r="B539" s="4">
        <v>2011</v>
      </c>
      <c r="C539" s="4" t="s">
        <v>9</v>
      </c>
      <c r="D539" s="9">
        <v>61</v>
      </c>
      <c r="E539" s="10" t="s">
        <v>68</v>
      </c>
      <c r="F539" s="4">
        <v>21</v>
      </c>
      <c r="G539" s="4" t="s">
        <v>1300</v>
      </c>
      <c r="H539" s="4" t="s">
        <v>1301</v>
      </c>
    </row>
    <row r="540" spans="1:8" ht="15.5" x14ac:dyDescent="0.35">
      <c r="A540" s="4" t="s">
        <v>1255</v>
      </c>
      <c r="B540" s="4">
        <v>2012</v>
      </c>
      <c r="C540" s="4" t="s">
        <v>9</v>
      </c>
      <c r="D540" s="9">
        <v>46</v>
      </c>
      <c r="E540" s="10" t="s">
        <v>81</v>
      </c>
      <c r="F540" s="4">
        <v>7</v>
      </c>
      <c r="G540" s="4" t="s">
        <v>1302</v>
      </c>
      <c r="H540" s="4" t="s">
        <v>1303</v>
      </c>
    </row>
    <row r="541" spans="1:8" ht="15.5" x14ac:dyDescent="0.35">
      <c r="A541" s="4" t="s">
        <v>1255</v>
      </c>
      <c r="B541" s="4">
        <v>2013</v>
      </c>
      <c r="C541" s="4" t="s">
        <v>9</v>
      </c>
      <c r="D541" s="9">
        <v>47</v>
      </c>
      <c r="E541" s="10" t="s">
        <v>33</v>
      </c>
      <c r="F541" s="4">
        <v>19</v>
      </c>
      <c r="G541" s="4" t="s">
        <v>1304</v>
      </c>
      <c r="H541" s="4" t="s">
        <v>1305</v>
      </c>
    </row>
    <row r="542" spans="1:8" ht="15.5" x14ac:dyDescent="0.35">
      <c r="A542" s="4" t="s">
        <v>1255</v>
      </c>
      <c r="B542" s="4">
        <v>2014</v>
      </c>
      <c r="C542" s="4" t="s">
        <v>9</v>
      </c>
      <c r="D542" s="9">
        <v>58</v>
      </c>
      <c r="E542" s="10" t="s">
        <v>488</v>
      </c>
      <c r="F542" s="4">
        <v>4</v>
      </c>
      <c r="G542" s="4" t="s">
        <v>1306</v>
      </c>
      <c r="H542" s="4" t="s">
        <v>1307</v>
      </c>
    </row>
    <row r="543" spans="1:8" ht="15.5" x14ac:dyDescent="0.35">
      <c r="A543" s="4" t="s">
        <v>1255</v>
      </c>
      <c r="B543" s="4">
        <v>2019</v>
      </c>
      <c r="C543" s="4" t="s">
        <v>9</v>
      </c>
      <c r="D543" s="9">
        <v>232</v>
      </c>
      <c r="E543" s="10" t="s">
        <v>397</v>
      </c>
      <c r="F543" s="4">
        <v>17</v>
      </c>
      <c r="G543" s="4" t="s">
        <v>1308</v>
      </c>
      <c r="H543" s="4" t="s">
        <v>1309</v>
      </c>
    </row>
    <row r="544" spans="1:8" ht="15.5" x14ac:dyDescent="0.35">
      <c r="A544" s="4" t="s">
        <v>1255</v>
      </c>
      <c r="B544" s="4">
        <v>2021</v>
      </c>
      <c r="C544" s="4" t="s">
        <v>9</v>
      </c>
      <c r="D544" s="9">
        <v>378</v>
      </c>
      <c r="E544" s="10" t="s">
        <v>57</v>
      </c>
      <c r="F544" s="4">
        <v>12</v>
      </c>
      <c r="G544" s="4" t="s">
        <v>1310</v>
      </c>
      <c r="H544" s="4" t="s">
        <v>1311</v>
      </c>
    </row>
    <row r="545" spans="1:8" ht="15.5" x14ac:dyDescent="0.35">
      <c r="A545" s="4" t="s">
        <v>1255</v>
      </c>
      <c r="B545" s="4">
        <v>2022</v>
      </c>
      <c r="C545" s="4" t="s">
        <v>9</v>
      </c>
      <c r="D545" s="9">
        <v>20</v>
      </c>
      <c r="E545" s="10" t="s">
        <v>1113</v>
      </c>
      <c r="F545" s="4">
        <v>18</v>
      </c>
      <c r="G545" s="4" t="s">
        <v>1312</v>
      </c>
      <c r="H545" s="4" t="s">
        <v>1313</v>
      </c>
    </row>
    <row r="546" spans="1:8" ht="15.5" x14ac:dyDescent="0.35">
      <c r="A546" s="4" t="s">
        <v>1314</v>
      </c>
      <c r="B546" s="4">
        <v>1965</v>
      </c>
      <c r="C546" s="4"/>
      <c r="D546" s="9">
        <v>11</v>
      </c>
      <c r="E546" s="10" t="s">
        <v>1315</v>
      </c>
      <c r="F546" s="4">
        <v>4</v>
      </c>
      <c r="G546" s="4" t="s">
        <v>1316</v>
      </c>
      <c r="H546" s="4" t="s">
        <v>1317</v>
      </c>
    </row>
    <row r="547" spans="1:8" ht="15.5" x14ac:dyDescent="0.35">
      <c r="A547" s="4" t="s">
        <v>1314</v>
      </c>
      <c r="B547" s="4">
        <v>1966</v>
      </c>
      <c r="C547" s="4"/>
      <c r="D547" s="9">
        <v>14</v>
      </c>
      <c r="E547" s="10" t="s">
        <v>114</v>
      </c>
      <c r="F547" s="4">
        <v>17</v>
      </c>
      <c r="G547" s="4" t="s">
        <v>1318</v>
      </c>
      <c r="H547" s="4" t="s">
        <v>1319</v>
      </c>
    </row>
    <row r="548" spans="1:8" ht="15.5" x14ac:dyDescent="0.35">
      <c r="A548" s="4" t="s">
        <v>1314</v>
      </c>
      <c r="B548" s="4">
        <v>1967</v>
      </c>
      <c r="C548" s="4"/>
      <c r="D548" s="9">
        <v>22</v>
      </c>
      <c r="E548" s="10" t="s">
        <v>1320</v>
      </c>
      <c r="F548" s="4">
        <v>17</v>
      </c>
      <c r="G548" s="4" t="s">
        <v>1321</v>
      </c>
      <c r="H548" s="4" t="s">
        <v>1322</v>
      </c>
    </row>
    <row r="549" spans="1:8" ht="15.5" x14ac:dyDescent="0.35">
      <c r="A549" s="4" t="s">
        <v>1314</v>
      </c>
      <c r="B549" s="4">
        <v>1968</v>
      </c>
      <c r="C549" s="4"/>
      <c r="D549" s="9">
        <v>18</v>
      </c>
      <c r="E549" s="10" t="s">
        <v>1323</v>
      </c>
      <c r="F549" s="4">
        <v>14</v>
      </c>
      <c r="G549" s="4" t="s">
        <v>1324</v>
      </c>
      <c r="H549" s="4" t="s">
        <v>1325</v>
      </c>
    </row>
    <row r="550" spans="1:8" ht="15.5" x14ac:dyDescent="0.35">
      <c r="A550" s="4" t="s">
        <v>1314</v>
      </c>
      <c r="B550" s="4">
        <v>1969</v>
      </c>
      <c r="C550" s="4"/>
      <c r="D550" s="9">
        <v>10</v>
      </c>
      <c r="E550" s="10" t="s">
        <v>108</v>
      </c>
      <c r="F550" s="4">
        <v>5</v>
      </c>
      <c r="G550" s="4" t="s">
        <v>1326</v>
      </c>
      <c r="H550" s="4" t="s">
        <v>1327</v>
      </c>
    </row>
    <row r="551" spans="1:8" ht="15.5" x14ac:dyDescent="0.35">
      <c r="A551" s="4" t="s">
        <v>1314</v>
      </c>
      <c r="B551" s="4">
        <v>1970</v>
      </c>
      <c r="C551" s="4"/>
      <c r="D551" s="9">
        <v>32</v>
      </c>
      <c r="E551" s="10" t="s">
        <v>1328</v>
      </c>
      <c r="F551" s="4">
        <v>12</v>
      </c>
      <c r="G551" s="4" t="s">
        <v>1329</v>
      </c>
      <c r="H551" s="4" t="s">
        <v>1330</v>
      </c>
    </row>
    <row r="552" spans="1:8" ht="15.5" x14ac:dyDescent="0.35">
      <c r="A552" s="4" t="s">
        <v>1314</v>
      </c>
      <c r="B552" s="4">
        <v>1971</v>
      </c>
      <c r="C552" s="4"/>
      <c r="D552" s="9">
        <v>79</v>
      </c>
      <c r="E552" s="10" t="s">
        <v>771</v>
      </c>
      <c r="F552" s="4">
        <v>13</v>
      </c>
      <c r="G552" s="4" t="s">
        <v>1331</v>
      </c>
      <c r="H552" s="4" t="s">
        <v>1332</v>
      </c>
    </row>
    <row r="553" spans="1:8" ht="15.5" x14ac:dyDescent="0.35">
      <c r="A553" s="4" t="s">
        <v>1314</v>
      </c>
      <c r="B553" s="4">
        <v>1972</v>
      </c>
      <c r="C553" s="4"/>
      <c r="D553" s="9">
        <v>72</v>
      </c>
      <c r="E553" s="10" t="s">
        <v>290</v>
      </c>
      <c r="F553" s="4">
        <v>3</v>
      </c>
      <c r="G553" s="4" t="s">
        <v>1333</v>
      </c>
      <c r="H553" s="4" t="s">
        <v>1334</v>
      </c>
    </row>
    <row r="554" spans="1:8" ht="15.5" x14ac:dyDescent="0.35">
      <c r="A554" s="4" t="s">
        <v>1314</v>
      </c>
      <c r="B554" s="4">
        <v>1973</v>
      </c>
      <c r="C554" s="4"/>
      <c r="D554" s="9">
        <v>80</v>
      </c>
      <c r="E554" s="10" t="s">
        <v>1335</v>
      </c>
      <c r="F554" s="4">
        <v>14</v>
      </c>
      <c r="G554" s="4" t="s">
        <v>1336</v>
      </c>
      <c r="H554" s="4" t="s">
        <v>1337</v>
      </c>
    </row>
    <row r="555" spans="1:8" ht="15.5" x14ac:dyDescent="0.35">
      <c r="A555" s="4" t="s">
        <v>1314</v>
      </c>
      <c r="B555" s="4">
        <v>1974</v>
      </c>
      <c r="C555" s="4"/>
      <c r="D555" s="9">
        <v>11</v>
      </c>
      <c r="E555" s="10" t="s">
        <v>295</v>
      </c>
      <c r="F555" s="4">
        <v>13</v>
      </c>
      <c r="G555" s="4" t="s">
        <v>1338</v>
      </c>
      <c r="H555" s="4" t="s">
        <v>1339</v>
      </c>
    </row>
    <row r="556" spans="1:8" ht="15.5" x14ac:dyDescent="0.35">
      <c r="A556" s="4" t="s">
        <v>1314</v>
      </c>
      <c r="B556" s="4">
        <v>1975</v>
      </c>
      <c r="C556" s="4"/>
      <c r="D556" s="9">
        <v>68</v>
      </c>
      <c r="E556" s="10" t="s">
        <v>789</v>
      </c>
      <c r="F556" s="4">
        <v>2</v>
      </c>
      <c r="G556" s="4" t="s">
        <v>1340</v>
      </c>
      <c r="H556" s="4" t="s">
        <v>1341</v>
      </c>
    </row>
    <row r="557" spans="1:8" ht="15.5" x14ac:dyDescent="0.35">
      <c r="A557" s="4" t="s">
        <v>1314</v>
      </c>
      <c r="B557" s="4">
        <v>1976</v>
      </c>
      <c r="C557" s="4"/>
      <c r="D557" s="9">
        <v>54</v>
      </c>
      <c r="E557" s="10" t="s">
        <v>747</v>
      </c>
      <c r="F557" s="4">
        <v>7</v>
      </c>
      <c r="G557" s="4" t="s">
        <v>1342</v>
      </c>
      <c r="H557" s="4" t="s">
        <v>1343</v>
      </c>
    </row>
    <row r="558" spans="1:8" ht="15.5" x14ac:dyDescent="0.35">
      <c r="A558" s="4" t="s">
        <v>1314</v>
      </c>
      <c r="B558" s="4">
        <v>1977</v>
      </c>
      <c r="C558" s="4"/>
      <c r="D558" s="9">
        <v>119</v>
      </c>
      <c r="E558" s="10" t="s">
        <v>867</v>
      </c>
      <c r="F558" s="4">
        <v>1</v>
      </c>
      <c r="G558" s="4" t="s">
        <v>1344</v>
      </c>
      <c r="H558" s="4" t="s">
        <v>1345</v>
      </c>
    </row>
    <row r="559" spans="1:8" ht="15.5" x14ac:dyDescent="0.35">
      <c r="A559" s="4" t="s">
        <v>1314</v>
      </c>
      <c r="B559" s="4">
        <v>1978</v>
      </c>
      <c r="C559" s="4"/>
      <c r="D559" s="9">
        <v>86</v>
      </c>
      <c r="E559" s="10" t="s">
        <v>1062</v>
      </c>
      <c r="F559" s="4">
        <v>1</v>
      </c>
      <c r="G559" s="4" t="s">
        <v>1346</v>
      </c>
      <c r="H559" s="4" t="s">
        <v>1347</v>
      </c>
    </row>
    <row r="560" spans="1:8" ht="15.5" x14ac:dyDescent="0.35">
      <c r="A560" s="4" t="s">
        <v>1314</v>
      </c>
      <c r="B560" s="4">
        <v>1979</v>
      </c>
      <c r="C560" s="4"/>
      <c r="D560" s="9">
        <v>80</v>
      </c>
      <c r="E560" s="10" t="s">
        <v>338</v>
      </c>
      <c r="F560" s="4">
        <v>4</v>
      </c>
      <c r="G560" s="4" t="s">
        <v>1348</v>
      </c>
      <c r="H560" s="4" t="s">
        <v>1349</v>
      </c>
    </row>
    <row r="561" spans="1:8" ht="15.5" x14ac:dyDescent="0.35">
      <c r="A561" s="4" t="s">
        <v>1314</v>
      </c>
      <c r="B561" s="4">
        <v>1980</v>
      </c>
      <c r="C561" s="4"/>
      <c r="D561" s="9">
        <v>143</v>
      </c>
      <c r="E561" s="10" t="s">
        <v>1350</v>
      </c>
      <c r="F561" s="4">
        <v>17</v>
      </c>
      <c r="G561" s="4" t="s">
        <v>1351</v>
      </c>
      <c r="H561" s="4" t="s">
        <v>1352</v>
      </c>
    </row>
    <row r="562" spans="1:8" ht="15.5" x14ac:dyDescent="0.35">
      <c r="A562" s="4" t="s">
        <v>1314</v>
      </c>
      <c r="B562" s="4">
        <v>1981</v>
      </c>
      <c r="C562" s="4"/>
      <c r="D562" s="9">
        <v>105</v>
      </c>
      <c r="E562" s="10" t="s">
        <v>1062</v>
      </c>
      <c r="F562" s="4">
        <v>12</v>
      </c>
      <c r="G562" s="4" t="s">
        <v>1353</v>
      </c>
      <c r="H562" s="4" t="s">
        <v>1354</v>
      </c>
    </row>
    <row r="563" spans="1:8" ht="15.5" x14ac:dyDescent="0.35">
      <c r="A563" s="4" t="s">
        <v>1314</v>
      </c>
      <c r="B563" s="4">
        <v>1982</v>
      </c>
      <c r="C563" s="4"/>
      <c r="D563" s="9">
        <v>49</v>
      </c>
      <c r="E563" s="10" t="s">
        <v>771</v>
      </c>
      <c r="F563" s="4">
        <v>17</v>
      </c>
      <c r="G563" s="4" t="s">
        <v>1355</v>
      </c>
      <c r="H563" s="4" t="s">
        <v>1356</v>
      </c>
    </row>
    <row r="564" spans="1:8" ht="15.5" x14ac:dyDescent="0.35">
      <c r="A564" s="4" t="s">
        <v>1314</v>
      </c>
      <c r="B564" s="4">
        <v>1984</v>
      </c>
      <c r="C564" s="4"/>
      <c r="D564" s="9">
        <v>137</v>
      </c>
      <c r="E564" s="10" t="s">
        <v>1056</v>
      </c>
      <c r="F564" s="4">
        <v>9</v>
      </c>
      <c r="G564" s="4" t="s">
        <v>1357</v>
      </c>
      <c r="H564" s="4" t="s">
        <v>1358</v>
      </c>
    </row>
    <row r="565" spans="1:8" ht="15.5" x14ac:dyDescent="0.35">
      <c r="A565" s="4" t="s">
        <v>1314</v>
      </c>
      <c r="B565" s="4">
        <v>1985</v>
      </c>
      <c r="C565" s="4"/>
      <c r="D565" s="9">
        <v>91</v>
      </c>
      <c r="E565" s="10" t="s">
        <v>620</v>
      </c>
      <c r="F565" s="4">
        <v>1</v>
      </c>
      <c r="G565" s="4" t="s">
        <v>1359</v>
      </c>
      <c r="H565" s="4" t="s">
        <v>1360</v>
      </c>
    </row>
    <row r="566" spans="1:8" ht="15.5" x14ac:dyDescent="0.35">
      <c r="A566" s="4" t="s">
        <v>1314</v>
      </c>
      <c r="B566" s="4">
        <v>1986</v>
      </c>
      <c r="C566" s="4"/>
      <c r="D566" s="9">
        <v>96</v>
      </c>
      <c r="E566" s="10" t="s">
        <v>1361</v>
      </c>
      <c r="F566" s="4">
        <v>12</v>
      </c>
      <c r="G566" s="4" t="s">
        <v>1362</v>
      </c>
      <c r="H566" s="4" t="s">
        <v>1363</v>
      </c>
    </row>
    <row r="567" spans="1:8" ht="15.5" x14ac:dyDescent="0.35">
      <c r="A567" s="4" t="s">
        <v>1314</v>
      </c>
      <c r="B567" s="4">
        <v>1987</v>
      </c>
      <c r="C567" s="4"/>
      <c r="D567" s="9">
        <v>172</v>
      </c>
      <c r="E567" s="10" t="s">
        <v>1364</v>
      </c>
      <c r="F567" s="4">
        <v>20</v>
      </c>
      <c r="G567" s="4" t="s">
        <v>1351</v>
      </c>
      <c r="H567" s="4" t="s">
        <v>1365</v>
      </c>
    </row>
    <row r="568" spans="1:8" ht="15.5" x14ac:dyDescent="0.35">
      <c r="A568" s="4" t="s">
        <v>1314</v>
      </c>
      <c r="B568" s="4">
        <v>1988</v>
      </c>
      <c r="C568" s="4"/>
      <c r="D568" s="9">
        <v>79</v>
      </c>
      <c r="E568" s="10" t="s">
        <v>1366</v>
      </c>
      <c r="F568" s="4">
        <v>10</v>
      </c>
      <c r="G568" s="4" t="s">
        <v>1367</v>
      </c>
      <c r="H568" s="4" t="s">
        <v>1368</v>
      </c>
    </row>
    <row r="569" spans="1:8" ht="15.5" x14ac:dyDescent="0.35">
      <c r="A569" s="4" t="s">
        <v>1314</v>
      </c>
      <c r="B569" s="4">
        <v>1989</v>
      </c>
      <c r="C569" s="4"/>
      <c r="D569" s="9">
        <v>21</v>
      </c>
      <c r="E569" s="10" t="s">
        <v>1079</v>
      </c>
      <c r="F569" s="4">
        <v>3</v>
      </c>
      <c r="G569" s="4" t="s">
        <v>1369</v>
      </c>
      <c r="H569" s="4" t="s">
        <v>1370</v>
      </c>
    </row>
    <row r="570" spans="1:8" ht="15.5" x14ac:dyDescent="0.35">
      <c r="A570" s="4" t="s">
        <v>1314</v>
      </c>
      <c r="B570" s="4">
        <v>1990</v>
      </c>
      <c r="C570" s="4"/>
      <c r="D570" s="9">
        <v>132</v>
      </c>
      <c r="E570" s="10" t="s">
        <v>921</v>
      </c>
      <c r="F570" s="4">
        <v>17</v>
      </c>
      <c r="G570" s="4" t="s">
        <v>1371</v>
      </c>
      <c r="H570" s="4" t="s">
        <v>1372</v>
      </c>
    </row>
    <row r="571" spans="1:8" ht="15.5" x14ac:dyDescent="0.35">
      <c r="A571" s="4" t="s">
        <v>1314</v>
      </c>
      <c r="B571" s="4">
        <v>1991</v>
      </c>
      <c r="C571" s="4"/>
      <c r="D571" s="9">
        <v>47</v>
      </c>
      <c r="E571" s="10" t="s">
        <v>169</v>
      </c>
      <c r="F571" s="4">
        <v>11</v>
      </c>
      <c r="G571" s="4" t="s">
        <v>1373</v>
      </c>
      <c r="H571" s="4" t="s">
        <v>1374</v>
      </c>
    </row>
    <row r="572" spans="1:8" ht="15.5" x14ac:dyDescent="0.35">
      <c r="A572" s="4" t="s">
        <v>1314</v>
      </c>
      <c r="B572" s="4">
        <v>1992</v>
      </c>
      <c r="C572" s="4"/>
      <c r="D572" s="9">
        <v>155</v>
      </c>
      <c r="E572" s="10" t="s">
        <v>712</v>
      </c>
      <c r="F572" s="4">
        <v>17</v>
      </c>
      <c r="G572" s="4" t="s">
        <v>1357</v>
      </c>
      <c r="H572" s="4" t="s">
        <v>1375</v>
      </c>
    </row>
    <row r="573" spans="1:8" ht="15.5" x14ac:dyDescent="0.35">
      <c r="A573" s="4" t="s">
        <v>1314</v>
      </c>
      <c r="B573" s="4">
        <v>1993</v>
      </c>
      <c r="C573" s="4"/>
      <c r="D573" s="9">
        <v>187</v>
      </c>
      <c r="E573" s="10" t="s">
        <v>231</v>
      </c>
      <c r="F573" s="4">
        <v>14</v>
      </c>
      <c r="G573" s="4" t="s">
        <v>1376</v>
      </c>
      <c r="H573" s="4" t="s">
        <v>1377</v>
      </c>
    </row>
    <row r="574" spans="1:8" ht="15.5" x14ac:dyDescent="0.35">
      <c r="A574" s="4" t="s">
        <v>1314</v>
      </c>
      <c r="B574" s="4">
        <v>1994</v>
      </c>
      <c r="C574" s="4"/>
      <c r="D574" s="9">
        <v>226</v>
      </c>
      <c r="E574" s="10" t="s">
        <v>231</v>
      </c>
      <c r="F574" s="4">
        <v>3</v>
      </c>
      <c r="G574" s="4" t="s">
        <v>1378</v>
      </c>
      <c r="H574" s="4" t="s">
        <v>1379</v>
      </c>
    </row>
    <row r="575" spans="1:8" ht="15.5" x14ac:dyDescent="0.35">
      <c r="A575" s="4" t="s">
        <v>1314</v>
      </c>
      <c r="B575" s="4">
        <v>1995</v>
      </c>
      <c r="C575" s="4"/>
      <c r="D575" s="9">
        <v>44</v>
      </c>
      <c r="E575" s="10" t="s">
        <v>424</v>
      </c>
      <c r="F575" s="4">
        <v>2</v>
      </c>
      <c r="G575" s="4" t="s">
        <v>1380</v>
      </c>
      <c r="H575" s="4" t="s">
        <v>1381</v>
      </c>
    </row>
    <row r="576" spans="1:8" ht="15.5" x14ac:dyDescent="0.35">
      <c r="A576" s="4" t="s">
        <v>1314</v>
      </c>
      <c r="B576" s="4">
        <v>1996</v>
      </c>
      <c r="C576" s="4"/>
      <c r="D576" s="9">
        <v>162</v>
      </c>
      <c r="E576" s="10" t="s">
        <v>712</v>
      </c>
      <c r="F576" s="4">
        <v>17</v>
      </c>
      <c r="G576" s="4" t="s">
        <v>1382</v>
      </c>
      <c r="H576" s="4" t="s">
        <v>1383</v>
      </c>
    </row>
    <row r="577" spans="1:8" ht="15.5" x14ac:dyDescent="0.35">
      <c r="A577" s="4" t="s">
        <v>1314</v>
      </c>
      <c r="B577" s="4">
        <v>1997</v>
      </c>
      <c r="C577" s="4"/>
      <c r="D577" s="9">
        <v>157</v>
      </c>
      <c r="E577" s="10" t="s">
        <v>1295</v>
      </c>
      <c r="F577" s="4">
        <v>5</v>
      </c>
      <c r="G577" s="4" t="s">
        <v>1384</v>
      </c>
      <c r="H577" s="4" t="s">
        <v>1385</v>
      </c>
    </row>
    <row r="578" spans="1:8" ht="15.5" x14ac:dyDescent="0.35">
      <c r="A578" s="4" t="s">
        <v>1314</v>
      </c>
      <c r="B578" s="4">
        <v>1998</v>
      </c>
      <c r="C578" s="4"/>
      <c r="D578" s="9">
        <v>64</v>
      </c>
      <c r="E578" s="10" t="s">
        <v>444</v>
      </c>
      <c r="F578" s="4">
        <v>13</v>
      </c>
      <c r="G578" s="4" t="s">
        <v>1386</v>
      </c>
      <c r="H578" s="4" t="s">
        <v>1387</v>
      </c>
    </row>
    <row r="579" spans="1:8" ht="15.5" x14ac:dyDescent="0.35">
      <c r="A579" s="4" t="s">
        <v>1314</v>
      </c>
      <c r="B579" s="4">
        <v>1999</v>
      </c>
      <c r="C579" s="4"/>
      <c r="D579" s="9">
        <v>18</v>
      </c>
      <c r="E579" s="10" t="s">
        <v>1388</v>
      </c>
      <c r="F579" s="4">
        <v>17</v>
      </c>
      <c r="G579" s="4" t="s">
        <v>1389</v>
      </c>
      <c r="H579" s="4" t="s">
        <v>1390</v>
      </c>
    </row>
    <row r="580" spans="1:8" ht="15.5" x14ac:dyDescent="0.35">
      <c r="A580" s="4" t="s">
        <v>1314</v>
      </c>
      <c r="B580" s="4">
        <v>2000</v>
      </c>
      <c r="C580" s="4"/>
      <c r="D580" s="9">
        <v>92</v>
      </c>
      <c r="E580" s="10" t="s">
        <v>257</v>
      </c>
      <c r="F580" s="4">
        <v>23</v>
      </c>
      <c r="G580" s="4" t="s">
        <v>1391</v>
      </c>
      <c r="H580" s="4" t="s">
        <v>1392</v>
      </c>
    </row>
    <row r="581" spans="1:8" ht="15.5" x14ac:dyDescent="0.35">
      <c r="A581" s="4" t="s">
        <v>1314</v>
      </c>
      <c r="B581" s="4">
        <v>2001</v>
      </c>
      <c r="C581" s="4"/>
      <c r="D581" s="9">
        <v>6</v>
      </c>
      <c r="E581" s="10" t="s">
        <v>1393</v>
      </c>
      <c r="F581" s="4">
        <v>12</v>
      </c>
      <c r="G581" s="4" t="s">
        <v>1394</v>
      </c>
      <c r="H581" s="4" t="s">
        <v>42</v>
      </c>
    </row>
    <row r="582" spans="1:8" ht="15.5" x14ac:dyDescent="0.35">
      <c r="A582" s="4" t="s">
        <v>1314</v>
      </c>
      <c r="B582" s="4">
        <v>2003</v>
      </c>
      <c r="C582" s="4"/>
      <c r="D582" s="9">
        <v>53</v>
      </c>
      <c r="E582" s="10" t="s">
        <v>30</v>
      </c>
      <c r="F582" s="4">
        <v>3</v>
      </c>
      <c r="G582" s="4" t="s">
        <v>1395</v>
      </c>
      <c r="H582" s="4" t="s">
        <v>1396</v>
      </c>
    </row>
    <row r="583" spans="1:8" ht="15.5" x14ac:dyDescent="0.35">
      <c r="A583" s="4" t="s">
        <v>1314</v>
      </c>
      <c r="B583" s="4">
        <v>2004</v>
      </c>
      <c r="C583" s="4" t="s">
        <v>9</v>
      </c>
      <c r="D583" s="9">
        <v>7</v>
      </c>
      <c r="E583" s="10" t="s">
        <v>386</v>
      </c>
      <c r="F583" s="4">
        <v>18</v>
      </c>
      <c r="G583" s="4" t="s">
        <v>1397</v>
      </c>
      <c r="H583" s="4" t="s">
        <v>1398</v>
      </c>
    </row>
    <row r="584" spans="1:8" ht="15.5" x14ac:dyDescent="0.35">
      <c r="A584" s="4" t="s">
        <v>1314</v>
      </c>
      <c r="B584" s="4">
        <v>2006</v>
      </c>
      <c r="C584" s="4" t="s">
        <v>9</v>
      </c>
      <c r="D584" s="9">
        <v>93</v>
      </c>
      <c r="E584" s="10" t="s">
        <v>1399</v>
      </c>
      <c r="F584" s="4">
        <v>21</v>
      </c>
      <c r="G584" s="4" t="s">
        <v>1400</v>
      </c>
      <c r="H584" s="4" t="s">
        <v>1401</v>
      </c>
    </row>
    <row r="585" spans="1:8" ht="15.5" x14ac:dyDescent="0.35">
      <c r="A585" s="4" t="s">
        <v>1314</v>
      </c>
      <c r="B585" s="4">
        <v>2007</v>
      </c>
      <c r="C585" s="4" t="s">
        <v>9</v>
      </c>
      <c r="D585" s="9">
        <v>5</v>
      </c>
      <c r="E585" s="10" t="s">
        <v>378</v>
      </c>
      <c r="F585" s="4">
        <v>4</v>
      </c>
      <c r="G585" s="4" t="s">
        <v>1402</v>
      </c>
      <c r="H585" s="4" t="s">
        <v>1403</v>
      </c>
    </row>
    <row r="586" spans="1:8" ht="15.5" x14ac:dyDescent="0.35">
      <c r="A586" s="4" t="s">
        <v>1314</v>
      </c>
      <c r="B586" s="4">
        <v>2010</v>
      </c>
      <c r="C586" s="4" t="s">
        <v>9</v>
      </c>
      <c r="D586" s="9">
        <v>25</v>
      </c>
      <c r="E586" s="10" t="s">
        <v>1113</v>
      </c>
      <c r="F586" s="4">
        <v>10</v>
      </c>
      <c r="G586" s="4" t="s">
        <v>1376</v>
      </c>
      <c r="H586" s="4" t="s">
        <v>1404</v>
      </c>
    </row>
    <row r="587" spans="1:8" ht="15.5" x14ac:dyDescent="0.35">
      <c r="A587" s="4" t="s">
        <v>1314</v>
      </c>
      <c r="B587" s="4">
        <v>2011</v>
      </c>
      <c r="C587" s="4" t="s">
        <v>9</v>
      </c>
      <c r="D587" s="9">
        <v>119</v>
      </c>
      <c r="E587" s="10" t="s">
        <v>222</v>
      </c>
      <c r="F587" s="4">
        <v>6</v>
      </c>
      <c r="G587" s="4" t="s">
        <v>1405</v>
      </c>
      <c r="H587" s="4" t="s">
        <v>1406</v>
      </c>
    </row>
    <row r="588" spans="1:8" ht="15.5" x14ac:dyDescent="0.35">
      <c r="A588" s="4" t="s">
        <v>1314</v>
      </c>
      <c r="B588" s="4">
        <v>2012</v>
      </c>
      <c r="C588" s="4" t="s">
        <v>9</v>
      </c>
      <c r="D588" s="9">
        <v>46</v>
      </c>
      <c r="E588" s="10" t="s">
        <v>402</v>
      </c>
      <c r="F588" s="4">
        <v>23</v>
      </c>
      <c r="G588" s="4" t="s">
        <v>1405</v>
      </c>
      <c r="H588" s="4" t="s">
        <v>1407</v>
      </c>
    </row>
    <row r="589" spans="1:8" ht="15.5" x14ac:dyDescent="0.35">
      <c r="A589" s="4" t="s">
        <v>1314</v>
      </c>
      <c r="B589" s="4">
        <v>2013</v>
      </c>
      <c r="C589" s="4" t="s">
        <v>9</v>
      </c>
      <c r="D589" s="9">
        <v>5</v>
      </c>
      <c r="E589" s="10" t="s">
        <v>972</v>
      </c>
      <c r="F589" s="4">
        <v>26</v>
      </c>
      <c r="G589" s="4" t="s">
        <v>1408</v>
      </c>
      <c r="H589" s="4" t="s">
        <v>1409</v>
      </c>
    </row>
    <row r="590" spans="1:8" ht="15.5" x14ac:dyDescent="0.35">
      <c r="A590" s="4" t="s">
        <v>1314</v>
      </c>
      <c r="B590" s="4">
        <v>2018</v>
      </c>
      <c r="C590" s="4" t="s">
        <v>9</v>
      </c>
      <c r="D590" s="9">
        <v>136</v>
      </c>
      <c r="E590" s="10" t="s">
        <v>215</v>
      </c>
      <c r="F590" s="4">
        <v>24</v>
      </c>
      <c r="G590" s="4" t="s">
        <v>1410</v>
      </c>
      <c r="H590" s="4" t="s">
        <v>1411</v>
      </c>
    </row>
    <row r="591" spans="1:8" ht="15.5" x14ac:dyDescent="0.35">
      <c r="A591" s="4" t="s">
        <v>1412</v>
      </c>
      <c r="B591" s="4">
        <v>1973</v>
      </c>
      <c r="C591" s="4"/>
      <c r="D591" s="9">
        <v>97</v>
      </c>
      <c r="E591" s="10" t="s">
        <v>1323</v>
      </c>
      <c r="F591" s="4">
        <v>17</v>
      </c>
      <c r="G591" s="4" t="s">
        <v>1413</v>
      </c>
      <c r="H591" s="4" t="s">
        <v>1414</v>
      </c>
    </row>
    <row r="592" spans="1:8" ht="15.5" x14ac:dyDescent="0.35">
      <c r="A592" s="4" t="s">
        <v>1412</v>
      </c>
      <c r="B592" s="4">
        <v>1974</v>
      </c>
      <c r="C592" s="4"/>
      <c r="D592" s="9">
        <v>11</v>
      </c>
      <c r="E592" s="10" t="s">
        <v>295</v>
      </c>
      <c r="F592" s="4">
        <v>6</v>
      </c>
      <c r="G592" s="4" t="s">
        <v>1415</v>
      </c>
      <c r="H592" s="4" t="s">
        <v>1416</v>
      </c>
    </row>
    <row r="593" spans="1:8" ht="15.5" x14ac:dyDescent="0.35">
      <c r="A593" s="4" t="s">
        <v>1412</v>
      </c>
      <c r="B593" s="4">
        <v>1975</v>
      </c>
      <c r="C593" s="4"/>
      <c r="D593" s="9">
        <v>40</v>
      </c>
      <c r="E593" s="10" t="s">
        <v>636</v>
      </c>
      <c r="F593" s="4">
        <v>12</v>
      </c>
      <c r="G593" s="4" t="s">
        <v>1417</v>
      </c>
      <c r="H593" s="4" t="s">
        <v>1418</v>
      </c>
    </row>
    <row r="594" spans="1:8" ht="15.5" x14ac:dyDescent="0.35">
      <c r="A594" s="4" t="s">
        <v>1412</v>
      </c>
      <c r="B594" s="4">
        <v>1976</v>
      </c>
      <c r="C594" s="4"/>
      <c r="D594" s="9">
        <v>77</v>
      </c>
      <c r="E594" s="10" t="s">
        <v>1315</v>
      </c>
      <c r="F594" s="4">
        <v>4</v>
      </c>
      <c r="G594" s="4" t="s">
        <v>1419</v>
      </c>
      <c r="H594" s="4" t="s">
        <v>1420</v>
      </c>
    </row>
    <row r="595" spans="1:8" ht="15.5" x14ac:dyDescent="0.35">
      <c r="A595" s="4" t="s">
        <v>1412</v>
      </c>
      <c r="B595" s="4">
        <v>1977</v>
      </c>
      <c r="C595" s="4"/>
      <c r="D595" s="9">
        <v>49</v>
      </c>
      <c r="E595" s="10" t="s">
        <v>771</v>
      </c>
      <c r="F595" s="4">
        <v>11</v>
      </c>
      <c r="G595" s="4" t="s">
        <v>1413</v>
      </c>
      <c r="H595" s="4" t="s">
        <v>1421</v>
      </c>
    </row>
    <row r="596" spans="1:8" ht="15.5" x14ac:dyDescent="0.35">
      <c r="A596" s="4" t="s">
        <v>1412</v>
      </c>
      <c r="B596" s="4">
        <v>1978</v>
      </c>
      <c r="C596" s="4"/>
      <c r="D596" s="9">
        <v>157</v>
      </c>
      <c r="E596" s="10" t="s">
        <v>343</v>
      </c>
      <c r="F596" s="4">
        <v>18</v>
      </c>
      <c r="G596" s="4" t="s">
        <v>1422</v>
      </c>
      <c r="H596" s="4" t="s">
        <v>1423</v>
      </c>
    </row>
    <row r="597" spans="1:8" ht="15.5" x14ac:dyDescent="0.35">
      <c r="A597" s="4" t="s">
        <v>1412</v>
      </c>
      <c r="B597" s="4">
        <v>1979</v>
      </c>
      <c r="C597" s="4"/>
      <c r="D597" s="9">
        <v>125</v>
      </c>
      <c r="E597" s="10" t="s">
        <v>1350</v>
      </c>
      <c r="F597" s="4">
        <v>10</v>
      </c>
      <c r="G597" s="4" t="s">
        <v>1424</v>
      </c>
      <c r="H597" s="4" t="s">
        <v>1425</v>
      </c>
    </row>
    <row r="598" spans="1:8" ht="15.5" x14ac:dyDescent="0.35">
      <c r="A598" s="4" t="s">
        <v>1412</v>
      </c>
      <c r="B598" s="4">
        <v>1981</v>
      </c>
      <c r="C598" s="4"/>
      <c r="D598" s="9">
        <v>56</v>
      </c>
      <c r="E598" s="10" t="s">
        <v>1426</v>
      </c>
      <c r="F598" s="4">
        <v>5</v>
      </c>
      <c r="G598" s="4" t="s">
        <v>1427</v>
      </c>
      <c r="H598" s="4" t="s">
        <v>1428</v>
      </c>
    </row>
    <row r="599" spans="1:8" ht="15.5" x14ac:dyDescent="0.35">
      <c r="A599" s="4" t="s">
        <v>1412</v>
      </c>
      <c r="B599" s="4">
        <v>1982</v>
      </c>
      <c r="C599" s="4"/>
      <c r="D599" s="9">
        <v>100</v>
      </c>
      <c r="E599" s="10" t="s">
        <v>890</v>
      </c>
      <c r="F599" s="4">
        <v>15</v>
      </c>
      <c r="G599" s="4" t="s">
        <v>1429</v>
      </c>
      <c r="H599" s="4" t="s">
        <v>1430</v>
      </c>
    </row>
    <row r="600" spans="1:8" ht="15.5" x14ac:dyDescent="0.35">
      <c r="A600" s="4" t="s">
        <v>1412</v>
      </c>
      <c r="B600" s="4">
        <v>1983</v>
      </c>
      <c r="C600" s="4"/>
      <c r="D600" s="9">
        <v>136</v>
      </c>
      <c r="E600" s="10" t="s">
        <v>324</v>
      </c>
      <c r="F600" s="4">
        <v>16</v>
      </c>
      <c r="G600" s="4" t="s">
        <v>1431</v>
      </c>
      <c r="H600" s="4" t="s">
        <v>1432</v>
      </c>
    </row>
    <row r="601" spans="1:8" ht="15.5" x14ac:dyDescent="0.35">
      <c r="A601" s="4" t="s">
        <v>1412</v>
      </c>
      <c r="B601" s="4">
        <v>1985</v>
      </c>
      <c r="C601" s="4"/>
      <c r="D601" s="9">
        <v>93</v>
      </c>
      <c r="E601" s="10" t="s">
        <v>338</v>
      </c>
      <c r="F601" s="4">
        <v>11</v>
      </c>
      <c r="G601" s="4" t="s">
        <v>1433</v>
      </c>
      <c r="H601" s="4" t="s">
        <v>1434</v>
      </c>
    </row>
    <row r="602" spans="1:8" ht="15.5" x14ac:dyDescent="0.35">
      <c r="A602" s="4" t="s">
        <v>1412</v>
      </c>
      <c r="B602" s="4">
        <v>1986</v>
      </c>
      <c r="C602" s="4"/>
      <c r="D602" s="9">
        <v>7</v>
      </c>
      <c r="E602" s="10" t="s">
        <v>1435</v>
      </c>
      <c r="F602" s="4">
        <v>11</v>
      </c>
      <c r="G602" s="4" t="s">
        <v>1436</v>
      </c>
      <c r="H602" s="4" t="s">
        <v>1437</v>
      </c>
    </row>
    <row r="603" spans="1:8" ht="15.5" x14ac:dyDescent="0.35">
      <c r="A603" s="4" t="s">
        <v>1412</v>
      </c>
      <c r="B603" s="4">
        <v>1987</v>
      </c>
      <c r="C603" s="4"/>
      <c r="D603" s="9">
        <v>73</v>
      </c>
      <c r="E603" s="10" t="s">
        <v>647</v>
      </c>
      <c r="F603" s="4">
        <v>2</v>
      </c>
      <c r="G603" s="4" t="s">
        <v>1438</v>
      </c>
      <c r="H603" s="4" t="s">
        <v>1439</v>
      </c>
    </row>
    <row r="604" spans="1:8" ht="15.5" x14ac:dyDescent="0.35">
      <c r="A604" s="4" t="s">
        <v>1412</v>
      </c>
      <c r="B604" s="4">
        <v>1988</v>
      </c>
      <c r="C604" s="4"/>
      <c r="D604" s="9">
        <v>85</v>
      </c>
      <c r="E604" s="10" t="s">
        <v>1440</v>
      </c>
      <c r="F604" s="4">
        <v>8</v>
      </c>
      <c r="G604" s="4" t="s">
        <v>1441</v>
      </c>
      <c r="H604" s="4" t="s">
        <v>1442</v>
      </c>
    </row>
    <row r="605" spans="1:8" ht="15.5" x14ac:dyDescent="0.35">
      <c r="A605" s="4" t="s">
        <v>1412</v>
      </c>
      <c r="B605" s="4">
        <v>1989</v>
      </c>
      <c r="C605" s="4"/>
      <c r="D605" s="9">
        <v>50</v>
      </c>
      <c r="E605" s="10" t="s">
        <v>355</v>
      </c>
      <c r="F605" s="4">
        <v>2</v>
      </c>
      <c r="G605" s="4" t="s">
        <v>1443</v>
      </c>
      <c r="H605" s="4" t="s">
        <v>1444</v>
      </c>
    </row>
    <row r="606" spans="1:8" ht="15.5" x14ac:dyDescent="0.35">
      <c r="A606" s="4" t="s">
        <v>1412</v>
      </c>
      <c r="B606" s="4">
        <v>1990</v>
      </c>
      <c r="C606" s="4"/>
      <c r="D606" s="9">
        <v>16</v>
      </c>
      <c r="E606" s="10" t="s">
        <v>1079</v>
      </c>
      <c r="F606" s="4">
        <v>10</v>
      </c>
      <c r="G606" s="4" t="s">
        <v>1445</v>
      </c>
      <c r="H606" s="4" t="s">
        <v>1446</v>
      </c>
    </row>
    <row r="607" spans="1:8" ht="15.5" x14ac:dyDescent="0.35">
      <c r="A607" s="4" t="s">
        <v>1412</v>
      </c>
      <c r="B607" s="4">
        <v>1991</v>
      </c>
      <c r="C607" s="4"/>
      <c r="D607" s="9">
        <v>139</v>
      </c>
      <c r="E607" s="10" t="s">
        <v>644</v>
      </c>
      <c r="F607" s="4">
        <v>15</v>
      </c>
      <c r="G607" s="4" t="s">
        <v>1447</v>
      </c>
      <c r="H607" s="4" t="s">
        <v>1448</v>
      </c>
    </row>
    <row r="608" spans="1:8" ht="15.5" x14ac:dyDescent="0.35">
      <c r="A608" s="4" t="s">
        <v>1412</v>
      </c>
      <c r="B608" s="4">
        <v>1992</v>
      </c>
      <c r="C608" s="4"/>
      <c r="D608" s="9">
        <v>85</v>
      </c>
      <c r="E608" s="10" t="s">
        <v>470</v>
      </c>
      <c r="F608" s="4">
        <v>3</v>
      </c>
      <c r="G608" s="4" t="s">
        <v>1449</v>
      </c>
      <c r="H608" s="4" t="s">
        <v>1450</v>
      </c>
    </row>
    <row r="609" spans="1:8" ht="15.5" x14ac:dyDescent="0.35">
      <c r="A609" s="4" t="s">
        <v>1412</v>
      </c>
      <c r="B609" s="4">
        <v>1993</v>
      </c>
      <c r="C609" s="4"/>
      <c r="D609" s="9">
        <v>4</v>
      </c>
      <c r="E609" s="10" t="s">
        <v>260</v>
      </c>
      <c r="F609" s="4">
        <v>24</v>
      </c>
      <c r="G609" s="4" t="s">
        <v>1451</v>
      </c>
      <c r="H609" s="4" t="s">
        <v>1452</v>
      </c>
    </row>
    <row r="610" spans="1:8" ht="15.5" x14ac:dyDescent="0.35">
      <c r="A610" s="4" t="s">
        <v>1412</v>
      </c>
      <c r="B610" s="4">
        <v>1995</v>
      </c>
      <c r="C610" s="4"/>
      <c r="D610" s="9">
        <v>81</v>
      </c>
      <c r="E610" s="10" t="s">
        <v>661</v>
      </c>
      <c r="F610" s="4">
        <v>21</v>
      </c>
      <c r="G610" s="4" t="s">
        <v>1453</v>
      </c>
      <c r="H610" s="4" t="s">
        <v>1454</v>
      </c>
    </row>
    <row r="611" spans="1:8" ht="15.5" x14ac:dyDescent="0.35">
      <c r="A611" s="4" t="s">
        <v>1412</v>
      </c>
      <c r="B611" s="4">
        <v>1998</v>
      </c>
      <c r="C611" s="4"/>
      <c r="D611" s="9">
        <v>172</v>
      </c>
      <c r="E611" s="10" t="s">
        <v>231</v>
      </c>
      <c r="F611" s="4">
        <v>8</v>
      </c>
      <c r="G611" s="4" t="s">
        <v>1455</v>
      </c>
      <c r="H611" s="4" t="s">
        <v>1456</v>
      </c>
    </row>
    <row r="612" spans="1:8" ht="15.5" x14ac:dyDescent="0.35">
      <c r="A612" s="4" t="s">
        <v>1412</v>
      </c>
      <c r="B612" s="4">
        <v>1999</v>
      </c>
      <c r="C612" s="4"/>
      <c r="D612" s="9">
        <v>93</v>
      </c>
      <c r="E612" s="10" t="s">
        <v>656</v>
      </c>
      <c r="F612" s="4">
        <v>19</v>
      </c>
      <c r="G612" s="4" t="s">
        <v>1457</v>
      </c>
      <c r="H612" s="4" t="s">
        <v>1458</v>
      </c>
    </row>
    <row r="613" spans="1:8" ht="15.5" x14ac:dyDescent="0.35">
      <c r="A613" s="4" t="s">
        <v>1412</v>
      </c>
      <c r="B613" s="4">
        <v>2000</v>
      </c>
      <c r="C613" s="4"/>
      <c r="D613" s="9">
        <v>7</v>
      </c>
      <c r="E613" s="10" t="s">
        <v>386</v>
      </c>
      <c r="F613" s="4">
        <v>1</v>
      </c>
      <c r="G613" s="4" t="s">
        <v>1459</v>
      </c>
      <c r="H613" s="4" t="s">
        <v>1460</v>
      </c>
    </row>
    <row r="614" spans="1:8" ht="15.5" x14ac:dyDescent="0.35">
      <c r="A614" s="4" t="s">
        <v>1412</v>
      </c>
      <c r="B614" s="4">
        <v>2001</v>
      </c>
      <c r="C614" s="4"/>
      <c r="D614" s="9">
        <v>25</v>
      </c>
      <c r="E614" s="10" t="s">
        <v>369</v>
      </c>
      <c r="F614" s="4">
        <v>5</v>
      </c>
      <c r="G614" s="4" t="s">
        <v>1461</v>
      </c>
      <c r="H614" s="4" t="s">
        <v>1462</v>
      </c>
    </row>
    <row r="615" spans="1:8" ht="15.5" x14ac:dyDescent="0.35">
      <c r="A615" s="4" t="s">
        <v>1412</v>
      </c>
      <c r="B615" s="4">
        <v>2002</v>
      </c>
      <c r="C615" s="4"/>
      <c r="D615" s="9">
        <v>37</v>
      </c>
      <c r="E615" s="10" t="s">
        <v>491</v>
      </c>
      <c r="F615" s="4">
        <v>10</v>
      </c>
      <c r="G615" s="4" t="s">
        <v>1463</v>
      </c>
      <c r="H615" s="4" t="s">
        <v>1464</v>
      </c>
    </row>
    <row r="616" spans="1:8" ht="15.5" x14ac:dyDescent="0.35">
      <c r="A616" s="4" t="s">
        <v>1412</v>
      </c>
      <c r="B616" s="4">
        <v>2003</v>
      </c>
      <c r="C616" s="4"/>
      <c r="D616" s="9">
        <v>17</v>
      </c>
      <c r="E616" s="10" t="s">
        <v>402</v>
      </c>
      <c r="F616" s="4">
        <v>13</v>
      </c>
      <c r="G616" s="4" t="s">
        <v>1465</v>
      </c>
      <c r="H616" s="4" t="s">
        <v>1466</v>
      </c>
    </row>
    <row r="617" spans="1:8" ht="15.5" x14ac:dyDescent="0.35">
      <c r="A617" s="4" t="s">
        <v>1412</v>
      </c>
      <c r="B617" s="4">
        <v>2005</v>
      </c>
      <c r="C617" s="4" t="s">
        <v>9</v>
      </c>
      <c r="D617" s="9">
        <v>154</v>
      </c>
      <c r="E617" s="10" t="s">
        <v>709</v>
      </c>
      <c r="F617" s="4">
        <v>11</v>
      </c>
      <c r="G617" s="4" t="s">
        <v>1467</v>
      </c>
      <c r="H617" s="4" t="s">
        <v>1468</v>
      </c>
    </row>
    <row r="618" spans="1:8" ht="15.5" x14ac:dyDescent="0.35">
      <c r="A618" s="4" t="s">
        <v>1412</v>
      </c>
      <c r="B618" s="4">
        <v>2006</v>
      </c>
      <c r="C618" s="4" t="s">
        <v>9</v>
      </c>
      <c r="D618" s="9">
        <v>4</v>
      </c>
      <c r="E618" s="10" t="s">
        <v>942</v>
      </c>
      <c r="F618" s="4">
        <v>3</v>
      </c>
      <c r="G618" s="4" t="s">
        <v>1469</v>
      </c>
      <c r="H618" s="4" t="s">
        <v>1470</v>
      </c>
    </row>
    <row r="619" spans="1:8" ht="15.5" x14ac:dyDescent="0.35">
      <c r="A619" s="4" t="s">
        <v>1412</v>
      </c>
      <c r="B619" s="4">
        <v>2008</v>
      </c>
      <c r="C619" s="4" t="s">
        <v>9</v>
      </c>
      <c r="D619" s="9">
        <v>124</v>
      </c>
      <c r="E619" s="10" t="s">
        <v>444</v>
      </c>
      <c r="F619" s="4">
        <v>7</v>
      </c>
      <c r="G619" s="4" t="s">
        <v>1471</v>
      </c>
      <c r="H619" s="4" t="s">
        <v>1472</v>
      </c>
    </row>
    <row r="620" spans="1:8" ht="15.5" x14ac:dyDescent="0.35">
      <c r="A620" s="4" t="s">
        <v>1412</v>
      </c>
      <c r="B620" s="4">
        <v>2009</v>
      </c>
      <c r="C620" s="4" t="s">
        <v>9</v>
      </c>
      <c r="D620" s="9">
        <v>53</v>
      </c>
      <c r="E620" s="10" t="s">
        <v>21</v>
      </c>
      <c r="F620" s="4">
        <v>2</v>
      </c>
      <c r="G620" s="4" t="s">
        <v>1473</v>
      </c>
      <c r="H620" s="4" t="s">
        <v>1474</v>
      </c>
    </row>
    <row r="621" spans="1:8" ht="15.5" x14ac:dyDescent="0.35">
      <c r="A621" s="4" t="s">
        <v>1412</v>
      </c>
      <c r="B621" s="4">
        <v>2010</v>
      </c>
      <c r="C621" s="4" t="s">
        <v>9</v>
      </c>
      <c r="D621" s="9">
        <v>71</v>
      </c>
      <c r="E621" s="10" t="s">
        <v>177</v>
      </c>
      <c r="F621" s="4">
        <v>24</v>
      </c>
      <c r="G621" s="4" t="s">
        <v>1475</v>
      </c>
      <c r="H621" s="4" t="s">
        <v>1476</v>
      </c>
    </row>
    <row r="622" spans="1:8" ht="15.5" x14ac:dyDescent="0.35">
      <c r="A622" s="4" t="s">
        <v>1412</v>
      </c>
      <c r="B622" s="4">
        <v>2015</v>
      </c>
      <c r="C622" s="4" t="s">
        <v>9</v>
      </c>
      <c r="D622" s="9">
        <v>97</v>
      </c>
      <c r="E622" s="10" t="s">
        <v>1477</v>
      </c>
      <c r="F622" s="4">
        <v>3</v>
      </c>
      <c r="G622" s="4" t="s">
        <v>1478</v>
      </c>
      <c r="H622" s="4" t="s">
        <v>1479</v>
      </c>
    </row>
    <row r="623" spans="1:8" ht="15.5" x14ac:dyDescent="0.35">
      <c r="A623" s="4" t="s">
        <v>1412</v>
      </c>
      <c r="B623" s="4">
        <v>2016</v>
      </c>
      <c r="C623" s="4" t="s">
        <v>9</v>
      </c>
      <c r="D623" s="9">
        <v>135</v>
      </c>
      <c r="E623" s="10" t="s">
        <v>246</v>
      </c>
      <c r="F623" s="4">
        <v>7</v>
      </c>
      <c r="G623" s="4" t="s">
        <v>1480</v>
      </c>
      <c r="H623" s="4" t="s">
        <v>1481</v>
      </c>
    </row>
    <row r="624" spans="1:8" ht="15.5" x14ac:dyDescent="0.35">
      <c r="A624" s="4" t="s">
        <v>1412</v>
      </c>
      <c r="B624" s="4">
        <v>2017</v>
      </c>
      <c r="C624" s="4" t="s">
        <v>9</v>
      </c>
      <c r="D624" s="9">
        <v>39</v>
      </c>
      <c r="E624" s="10" t="s">
        <v>502</v>
      </c>
      <c r="F624" s="4">
        <v>1</v>
      </c>
      <c r="G624" s="4" t="s">
        <v>1482</v>
      </c>
      <c r="H624" s="4" t="s">
        <v>1483</v>
      </c>
    </row>
    <row r="625" spans="1:8" ht="15.5" x14ac:dyDescent="0.35">
      <c r="A625" s="4" t="s">
        <v>1412</v>
      </c>
      <c r="B625" s="4">
        <v>2018</v>
      </c>
      <c r="C625" s="4" t="s">
        <v>9</v>
      </c>
      <c r="D625" s="9">
        <v>529</v>
      </c>
      <c r="E625" s="10" t="s">
        <v>206</v>
      </c>
      <c r="F625" s="4">
        <v>22</v>
      </c>
      <c r="G625" s="4" t="s">
        <v>1484</v>
      </c>
      <c r="H625" s="4" t="s">
        <v>1485</v>
      </c>
    </row>
    <row r="626" spans="1:8" ht="15.5" x14ac:dyDescent="0.35">
      <c r="A626" s="4" t="s">
        <v>1412</v>
      </c>
      <c r="B626" s="4">
        <v>2019</v>
      </c>
      <c r="C626" s="4" t="s">
        <v>9</v>
      </c>
      <c r="D626" s="9">
        <v>35</v>
      </c>
      <c r="E626" s="10" t="s">
        <v>502</v>
      </c>
      <c r="F626" s="4">
        <v>14</v>
      </c>
      <c r="G626" s="4" t="s">
        <v>1486</v>
      </c>
      <c r="H626" s="4" t="s">
        <v>1487</v>
      </c>
    </row>
    <row r="627" spans="1:8" ht="15.5" x14ac:dyDescent="0.35">
      <c r="A627" s="4" t="s">
        <v>1412</v>
      </c>
      <c r="B627" s="4">
        <v>2021</v>
      </c>
      <c r="C627" s="4" t="s">
        <v>9</v>
      </c>
      <c r="D627" s="9">
        <v>93</v>
      </c>
      <c r="E627" s="10" t="s">
        <v>33</v>
      </c>
      <c r="F627" s="4">
        <v>3</v>
      </c>
      <c r="G627" s="4" t="s">
        <v>1488</v>
      </c>
      <c r="H627" s="4" t="s">
        <v>1489</v>
      </c>
    </row>
    <row r="628" spans="1:8" ht="15.5" x14ac:dyDescent="0.35">
      <c r="A628" s="4" t="s">
        <v>1490</v>
      </c>
      <c r="B628" s="4">
        <v>1957</v>
      </c>
      <c r="C628" s="4"/>
      <c r="D628" s="9">
        <v>7</v>
      </c>
      <c r="E628" s="10" t="s">
        <v>1491</v>
      </c>
      <c r="F628" s="4">
        <v>4</v>
      </c>
      <c r="G628" s="4" t="s">
        <v>1492</v>
      </c>
      <c r="H628" s="4" t="s">
        <v>1493</v>
      </c>
    </row>
    <row r="629" spans="1:8" ht="15.5" x14ac:dyDescent="0.35">
      <c r="A629" s="4" t="s">
        <v>1490</v>
      </c>
      <c r="B629" s="4">
        <v>1958</v>
      </c>
      <c r="C629" s="4"/>
      <c r="D629" s="9">
        <v>13</v>
      </c>
      <c r="E629" s="10" t="s">
        <v>592</v>
      </c>
      <c r="F629" s="4">
        <v>1</v>
      </c>
      <c r="G629" s="4" t="s">
        <v>1494</v>
      </c>
      <c r="H629" s="4" t="s">
        <v>1495</v>
      </c>
    </row>
    <row r="630" spans="1:8" ht="15.5" x14ac:dyDescent="0.35">
      <c r="A630" s="4" t="s">
        <v>1490</v>
      </c>
      <c r="B630" s="4">
        <v>1959</v>
      </c>
      <c r="C630" s="4"/>
      <c r="D630" s="9">
        <v>9</v>
      </c>
      <c r="E630" s="10" t="s">
        <v>278</v>
      </c>
      <c r="F630" s="4">
        <v>3</v>
      </c>
      <c r="G630" s="4" t="s">
        <v>1494</v>
      </c>
      <c r="H630" s="4" t="s">
        <v>1496</v>
      </c>
    </row>
    <row r="631" spans="1:8" ht="15.5" x14ac:dyDescent="0.35">
      <c r="A631" s="4" t="s">
        <v>1490</v>
      </c>
      <c r="B631" s="4">
        <v>1960</v>
      </c>
      <c r="C631" s="4"/>
      <c r="D631" s="9">
        <v>5</v>
      </c>
      <c r="E631" s="10" t="s">
        <v>1497</v>
      </c>
      <c r="F631" s="4">
        <v>12</v>
      </c>
      <c r="G631" s="4" t="s">
        <v>1498</v>
      </c>
      <c r="H631" s="4" t="s">
        <v>1499</v>
      </c>
    </row>
    <row r="632" spans="1:8" ht="15.5" x14ac:dyDescent="0.35">
      <c r="A632" s="4" t="s">
        <v>1490</v>
      </c>
      <c r="B632" s="4">
        <v>1961</v>
      </c>
      <c r="C632" s="4"/>
      <c r="D632" s="9">
        <v>12</v>
      </c>
      <c r="E632" s="10" t="s">
        <v>603</v>
      </c>
      <c r="F632" s="4">
        <v>16</v>
      </c>
      <c r="G632" s="4" t="s">
        <v>1500</v>
      </c>
      <c r="H632" s="4" t="s">
        <v>1501</v>
      </c>
    </row>
    <row r="633" spans="1:8" ht="15.5" x14ac:dyDescent="0.35">
      <c r="A633" s="4" t="s">
        <v>1490</v>
      </c>
      <c r="B633" s="4">
        <v>1962</v>
      </c>
      <c r="C633" s="4"/>
      <c r="D633" s="9">
        <v>3</v>
      </c>
      <c r="E633" s="10" t="s">
        <v>611</v>
      </c>
      <c r="F633" s="4">
        <v>15</v>
      </c>
      <c r="G633" s="4" t="s">
        <v>1502</v>
      </c>
      <c r="H633" s="4" t="s">
        <v>1503</v>
      </c>
    </row>
    <row r="634" spans="1:8" ht="15.5" x14ac:dyDescent="0.35">
      <c r="A634" s="4" t="s">
        <v>1490</v>
      </c>
      <c r="B634" s="4">
        <v>1963</v>
      </c>
      <c r="C634" s="4"/>
      <c r="D634" s="9">
        <v>37</v>
      </c>
      <c r="E634" s="10" t="s">
        <v>1504</v>
      </c>
      <c r="F634" s="4">
        <v>6</v>
      </c>
      <c r="G634" s="4" t="s">
        <v>1505</v>
      </c>
      <c r="H634" s="4" t="s">
        <v>1506</v>
      </c>
    </row>
    <row r="635" spans="1:8" ht="15.5" x14ac:dyDescent="0.35">
      <c r="A635" s="4" t="s">
        <v>1490</v>
      </c>
      <c r="B635" s="4">
        <v>1964</v>
      </c>
      <c r="C635" s="4"/>
      <c r="D635" s="9">
        <v>49</v>
      </c>
      <c r="E635" s="10" t="s">
        <v>608</v>
      </c>
      <c r="F635" s="4">
        <v>12</v>
      </c>
      <c r="G635" s="4" t="s">
        <v>1507</v>
      </c>
      <c r="H635" s="4" t="s">
        <v>1508</v>
      </c>
    </row>
    <row r="636" spans="1:8" ht="15.5" x14ac:dyDescent="0.35">
      <c r="A636" s="4" t="s">
        <v>1490</v>
      </c>
      <c r="B636" s="4">
        <v>1965</v>
      </c>
      <c r="C636" s="4"/>
      <c r="D636" s="9">
        <v>15</v>
      </c>
      <c r="E636" s="10" t="s">
        <v>127</v>
      </c>
      <c r="F636" s="4">
        <v>13</v>
      </c>
      <c r="G636" s="4" t="s">
        <v>1509</v>
      </c>
      <c r="H636" s="4" t="s">
        <v>1510</v>
      </c>
    </row>
    <row r="637" spans="1:8" ht="15.5" x14ac:dyDescent="0.35">
      <c r="A637" s="4" t="s">
        <v>1490</v>
      </c>
      <c r="B637" s="4">
        <v>1966</v>
      </c>
      <c r="C637" s="4"/>
      <c r="D637" s="9">
        <v>0</v>
      </c>
      <c r="E637" s="10" t="s">
        <v>132</v>
      </c>
      <c r="F637" s="4">
        <v>14</v>
      </c>
      <c r="G637" s="4" t="s">
        <v>1494</v>
      </c>
      <c r="H637" s="4" t="s">
        <v>1511</v>
      </c>
    </row>
    <row r="638" spans="1:8" ht="15.5" x14ac:dyDescent="0.35">
      <c r="A638" s="4" t="s">
        <v>1490</v>
      </c>
      <c r="B638" s="4">
        <v>1967</v>
      </c>
      <c r="C638" s="4"/>
      <c r="D638" s="9">
        <v>4</v>
      </c>
      <c r="E638" s="10" t="s">
        <v>1142</v>
      </c>
      <c r="F638" s="4">
        <v>16</v>
      </c>
      <c r="G638" s="4" t="s">
        <v>1502</v>
      </c>
      <c r="H638" s="4" t="s">
        <v>1512</v>
      </c>
    </row>
    <row r="639" spans="1:8" ht="15.5" x14ac:dyDescent="0.35">
      <c r="A639" s="4" t="s">
        <v>1490</v>
      </c>
      <c r="B639" s="4">
        <v>1968</v>
      </c>
      <c r="C639" s="4"/>
      <c r="D639" s="9">
        <v>7</v>
      </c>
      <c r="E639" s="10" t="s">
        <v>1335</v>
      </c>
      <c r="F639" s="4">
        <v>11</v>
      </c>
      <c r="G639" s="4" t="s">
        <v>1513</v>
      </c>
      <c r="H639" s="4" t="s">
        <v>1514</v>
      </c>
    </row>
    <row r="640" spans="1:8" ht="15.5" x14ac:dyDescent="0.35">
      <c r="A640" s="4" t="s">
        <v>1490</v>
      </c>
      <c r="B640" s="4">
        <v>1969</v>
      </c>
      <c r="C640" s="4"/>
      <c r="D640" s="9">
        <v>5</v>
      </c>
      <c r="E640" s="10" t="s">
        <v>105</v>
      </c>
      <c r="F640" s="4">
        <v>6</v>
      </c>
      <c r="G640" s="4" t="s">
        <v>1515</v>
      </c>
      <c r="H640" s="4" t="s">
        <v>1516</v>
      </c>
    </row>
    <row r="641" spans="1:8" ht="15.5" x14ac:dyDescent="0.35">
      <c r="A641" s="4" t="s">
        <v>1490</v>
      </c>
      <c r="B641" s="4">
        <v>1970</v>
      </c>
      <c r="C641" s="4"/>
      <c r="D641" s="9">
        <v>5</v>
      </c>
      <c r="E641" s="10" t="s">
        <v>301</v>
      </c>
      <c r="F641" s="4">
        <v>3</v>
      </c>
      <c r="G641" s="4" t="s">
        <v>1517</v>
      </c>
      <c r="H641" s="4" t="s">
        <v>1518</v>
      </c>
    </row>
    <row r="642" spans="1:8" ht="15.5" x14ac:dyDescent="0.35">
      <c r="A642" s="4" t="s">
        <v>1490</v>
      </c>
      <c r="B642" s="4">
        <v>1971</v>
      </c>
      <c r="C642" s="4"/>
      <c r="D642" s="9">
        <v>91</v>
      </c>
      <c r="E642" s="10" t="s">
        <v>127</v>
      </c>
      <c r="F642" s="4">
        <v>11</v>
      </c>
      <c r="G642" s="4" t="s">
        <v>1519</v>
      </c>
      <c r="H642" s="4" t="s">
        <v>1520</v>
      </c>
    </row>
    <row r="643" spans="1:8" ht="15.5" x14ac:dyDescent="0.35">
      <c r="A643" s="4" t="s">
        <v>1490</v>
      </c>
      <c r="B643" s="4">
        <v>1972</v>
      </c>
      <c r="C643" s="4"/>
      <c r="D643" s="9">
        <v>92</v>
      </c>
      <c r="E643" s="10" t="s">
        <v>1315</v>
      </c>
      <c r="F643" s="4">
        <v>12</v>
      </c>
      <c r="G643" s="4" t="s">
        <v>1521</v>
      </c>
      <c r="H643" s="4" t="s">
        <v>1522</v>
      </c>
    </row>
    <row r="644" spans="1:8" ht="15.5" x14ac:dyDescent="0.35">
      <c r="A644" s="4" t="s">
        <v>1490</v>
      </c>
      <c r="B644" s="4">
        <v>1973</v>
      </c>
      <c r="C644" s="4"/>
      <c r="D644" s="9">
        <v>74</v>
      </c>
      <c r="E644" s="10" t="s">
        <v>121</v>
      </c>
      <c r="F644" s="4">
        <v>10</v>
      </c>
      <c r="G644" s="4" t="s">
        <v>1519</v>
      </c>
      <c r="H644" s="4" t="s">
        <v>1523</v>
      </c>
    </row>
    <row r="645" spans="1:8" ht="15.5" x14ac:dyDescent="0.35">
      <c r="A645" s="4" t="s">
        <v>1490</v>
      </c>
      <c r="B645" s="4">
        <v>1974</v>
      </c>
      <c r="C645" s="4"/>
      <c r="D645" s="9">
        <v>18</v>
      </c>
      <c r="E645" s="10" t="s">
        <v>1320</v>
      </c>
      <c r="F645" s="4">
        <v>17</v>
      </c>
      <c r="G645" s="4" t="s">
        <v>1507</v>
      </c>
      <c r="H645" s="4" t="s">
        <v>1524</v>
      </c>
    </row>
    <row r="646" spans="1:8" ht="15.5" x14ac:dyDescent="0.35">
      <c r="A646" s="4" t="s">
        <v>1490</v>
      </c>
      <c r="B646" s="4">
        <v>1975</v>
      </c>
      <c r="C646" s="4"/>
      <c r="D646" s="9">
        <v>115</v>
      </c>
      <c r="E646" s="10" t="s">
        <v>898</v>
      </c>
      <c r="F646" s="4">
        <v>19</v>
      </c>
      <c r="G646" s="4" t="s">
        <v>1525</v>
      </c>
      <c r="H646" s="4" t="s">
        <v>1526</v>
      </c>
    </row>
    <row r="647" spans="1:8" ht="15.5" x14ac:dyDescent="0.35">
      <c r="A647" s="4" t="s">
        <v>1490</v>
      </c>
      <c r="B647" s="4">
        <v>1976</v>
      </c>
      <c r="C647" s="4"/>
      <c r="D647" s="9">
        <v>69</v>
      </c>
      <c r="E647" s="10" t="s">
        <v>321</v>
      </c>
      <c r="F647" s="4">
        <v>13</v>
      </c>
      <c r="G647" s="4" t="s">
        <v>1527</v>
      </c>
      <c r="H647" s="4" t="s">
        <v>1528</v>
      </c>
    </row>
    <row r="648" spans="1:8" ht="15.5" x14ac:dyDescent="0.35">
      <c r="A648" s="4" t="s">
        <v>1490</v>
      </c>
      <c r="B648" s="4">
        <v>1977</v>
      </c>
      <c r="C648" s="4"/>
      <c r="D648" s="9">
        <v>33</v>
      </c>
      <c r="E648" s="10" t="s">
        <v>1145</v>
      </c>
      <c r="F648" s="4">
        <v>15</v>
      </c>
      <c r="G648" s="4" t="s">
        <v>1529</v>
      </c>
      <c r="H648" s="4" t="s">
        <v>1530</v>
      </c>
    </row>
    <row r="649" spans="1:8" ht="15.5" x14ac:dyDescent="0.35">
      <c r="A649" s="4" t="s">
        <v>1490</v>
      </c>
      <c r="B649" s="4">
        <v>1978</v>
      </c>
      <c r="C649" s="4"/>
      <c r="D649" s="9">
        <v>53</v>
      </c>
      <c r="E649" s="10" t="s">
        <v>1531</v>
      </c>
      <c r="F649" s="4">
        <v>3</v>
      </c>
      <c r="G649" s="4" t="s">
        <v>1532</v>
      </c>
      <c r="H649" s="4" t="s">
        <v>1533</v>
      </c>
    </row>
    <row r="650" spans="1:8" ht="15.5" x14ac:dyDescent="0.35">
      <c r="A650" s="4" t="s">
        <v>1490</v>
      </c>
      <c r="B650" s="4">
        <v>1979</v>
      </c>
      <c r="C650" s="4"/>
      <c r="D650" s="9">
        <v>27</v>
      </c>
      <c r="E650" s="10" t="s">
        <v>315</v>
      </c>
      <c r="F650" s="4">
        <v>2</v>
      </c>
      <c r="G650" s="4" t="s">
        <v>1534</v>
      </c>
      <c r="H650" s="4" t="s">
        <v>1535</v>
      </c>
    </row>
    <row r="651" spans="1:8" ht="15.5" x14ac:dyDescent="0.35">
      <c r="A651" s="4" t="s">
        <v>1490</v>
      </c>
      <c r="B651" s="4">
        <v>1980</v>
      </c>
      <c r="C651" s="4"/>
      <c r="D651" s="9">
        <v>87</v>
      </c>
      <c r="E651" s="10" t="s">
        <v>620</v>
      </c>
      <c r="F651" s="4">
        <v>6</v>
      </c>
      <c r="G651" s="4" t="s">
        <v>1536</v>
      </c>
      <c r="H651" s="4" t="s">
        <v>1537</v>
      </c>
    </row>
    <row r="652" spans="1:8" ht="15.5" x14ac:dyDescent="0.35">
      <c r="A652" s="4" t="s">
        <v>1490</v>
      </c>
      <c r="B652" s="4">
        <v>1983</v>
      </c>
      <c r="C652" s="4"/>
      <c r="D652" s="9">
        <v>41</v>
      </c>
      <c r="E652" s="10" t="s">
        <v>626</v>
      </c>
      <c r="F652" s="4">
        <v>5</v>
      </c>
      <c r="G652" s="4" t="s">
        <v>1538</v>
      </c>
      <c r="H652" s="4" t="s">
        <v>1539</v>
      </c>
    </row>
    <row r="653" spans="1:8" ht="15.5" x14ac:dyDescent="0.35">
      <c r="A653" s="4" t="s">
        <v>1490</v>
      </c>
      <c r="B653" s="4">
        <v>1984</v>
      </c>
      <c r="C653" s="4"/>
      <c r="D653" s="9">
        <v>70</v>
      </c>
      <c r="E653" s="10" t="s">
        <v>338</v>
      </c>
      <c r="F653" s="4">
        <v>18</v>
      </c>
      <c r="G653" s="4" t="s">
        <v>1540</v>
      </c>
      <c r="H653" s="4" t="s">
        <v>1541</v>
      </c>
    </row>
    <row r="654" spans="1:8" ht="15.5" x14ac:dyDescent="0.35">
      <c r="A654" s="4" t="s">
        <v>1490</v>
      </c>
      <c r="B654" s="4">
        <v>1985</v>
      </c>
      <c r="C654" s="4"/>
      <c r="D654" s="9">
        <v>78</v>
      </c>
      <c r="E654" s="10" t="s">
        <v>768</v>
      </c>
      <c r="F654" s="4">
        <v>12</v>
      </c>
      <c r="G654" s="4" t="s">
        <v>1542</v>
      </c>
      <c r="H654" s="4" t="s">
        <v>1543</v>
      </c>
    </row>
    <row r="655" spans="1:8" ht="15.5" x14ac:dyDescent="0.35">
      <c r="A655" s="4" t="s">
        <v>1490</v>
      </c>
      <c r="B655" s="4">
        <v>1987</v>
      </c>
      <c r="C655" s="4"/>
      <c r="D655" s="9">
        <v>103</v>
      </c>
      <c r="E655" s="10" t="s">
        <v>644</v>
      </c>
      <c r="F655" s="4">
        <v>7</v>
      </c>
      <c r="G655" s="4" t="s">
        <v>1544</v>
      </c>
      <c r="H655" s="4" t="s">
        <v>1545</v>
      </c>
    </row>
    <row r="656" spans="1:8" ht="15.5" x14ac:dyDescent="0.35">
      <c r="A656" s="4" t="s">
        <v>1490</v>
      </c>
      <c r="B656" s="4">
        <v>1988</v>
      </c>
      <c r="C656" s="4"/>
      <c r="D656" s="9">
        <v>52</v>
      </c>
      <c r="E656" s="10" t="s">
        <v>1546</v>
      </c>
      <c r="F656" s="4">
        <v>18</v>
      </c>
      <c r="G656" s="4" t="s">
        <v>1547</v>
      </c>
      <c r="H656" s="4" t="s">
        <v>1548</v>
      </c>
    </row>
    <row r="657" spans="1:8" ht="15.5" x14ac:dyDescent="0.35">
      <c r="A657" s="4" t="s">
        <v>1490</v>
      </c>
      <c r="B657" s="4">
        <v>1989</v>
      </c>
      <c r="C657" s="4"/>
      <c r="D657" s="9">
        <v>56</v>
      </c>
      <c r="E657" s="10" t="s">
        <v>532</v>
      </c>
      <c r="F657" s="4">
        <v>1</v>
      </c>
      <c r="G657" s="4" t="s">
        <v>1549</v>
      </c>
      <c r="H657" s="4" t="s">
        <v>1550</v>
      </c>
    </row>
    <row r="658" spans="1:8" ht="15.5" x14ac:dyDescent="0.35">
      <c r="A658" s="4" t="s">
        <v>1490</v>
      </c>
      <c r="B658" s="4">
        <v>1990</v>
      </c>
      <c r="C658" s="4"/>
      <c r="D658" s="9">
        <v>149</v>
      </c>
      <c r="E658" s="10" t="s">
        <v>1364</v>
      </c>
      <c r="F658" s="4">
        <v>19</v>
      </c>
      <c r="G658" s="4" t="s">
        <v>1551</v>
      </c>
      <c r="H658" s="4" t="s">
        <v>1552</v>
      </c>
    </row>
    <row r="659" spans="1:8" ht="15.5" x14ac:dyDescent="0.35">
      <c r="A659" s="4" t="s">
        <v>1490</v>
      </c>
      <c r="B659" s="4">
        <v>1991</v>
      </c>
      <c r="C659" s="4"/>
      <c r="D659" s="9">
        <v>89</v>
      </c>
      <c r="E659" s="10" t="s">
        <v>524</v>
      </c>
      <c r="F659" s="4">
        <v>22</v>
      </c>
      <c r="G659" s="4" t="s">
        <v>1553</v>
      </c>
      <c r="H659" s="4" t="s">
        <v>1554</v>
      </c>
    </row>
    <row r="660" spans="1:8" ht="15.5" x14ac:dyDescent="0.35">
      <c r="A660" s="4" t="s">
        <v>1490</v>
      </c>
      <c r="B660" s="4">
        <v>1992</v>
      </c>
      <c r="C660" s="4"/>
      <c r="D660" s="9">
        <v>111</v>
      </c>
      <c r="E660" s="10" t="s">
        <v>473</v>
      </c>
      <c r="F660" s="4">
        <v>19</v>
      </c>
      <c r="G660" s="4" t="s">
        <v>1529</v>
      </c>
      <c r="H660" s="4" t="s">
        <v>1555</v>
      </c>
    </row>
    <row r="661" spans="1:8" ht="15.5" x14ac:dyDescent="0.35">
      <c r="A661" s="4" t="s">
        <v>1490</v>
      </c>
      <c r="B661" s="4">
        <v>1993</v>
      </c>
      <c r="C661" s="4"/>
      <c r="D661" s="9">
        <v>45</v>
      </c>
      <c r="E661" s="10" t="s">
        <v>704</v>
      </c>
      <c r="F661" s="4">
        <v>1</v>
      </c>
      <c r="G661" s="4" t="s">
        <v>1556</v>
      </c>
      <c r="H661" s="4" t="s">
        <v>1557</v>
      </c>
    </row>
    <row r="662" spans="1:8" ht="15.5" x14ac:dyDescent="0.35">
      <c r="A662" s="4" t="s">
        <v>1490</v>
      </c>
      <c r="B662" s="4">
        <v>1997</v>
      </c>
      <c r="C662" s="4"/>
      <c r="D662" s="9">
        <v>114</v>
      </c>
      <c r="E662" s="10" t="s">
        <v>45</v>
      </c>
      <c r="F662" s="4">
        <v>9</v>
      </c>
      <c r="G662" s="4" t="s">
        <v>1558</v>
      </c>
      <c r="H662" s="4" t="s">
        <v>1559</v>
      </c>
    </row>
    <row r="663" spans="1:8" ht="15.5" x14ac:dyDescent="0.35">
      <c r="A663" s="4" t="s">
        <v>1490</v>
      </c>
      <c r="B663" s="4">
        <v>2011</v>
      </c>
      <c r="C663" s="4" t="s">
        <v>9</v>
      </c>
      <c r="D663" s="9">
        <v>189</v>
      </c>
      <c r="E663" s="10" t="s">
        <v>1295</v>
      </c>
      <c r="F663" s="4">
        <v>12</v>
      </c>
      <c r="G663" s="4" t="s">
        <v>1560</v>
      </c>
      <c r="H663" s="4" t="s">
        <v>1561</v>
      </c>
    </row>
    <row r="664" spans="1:8" ht="15.5" x14ac:dyDescent="0.35">
      <c r="A664" s="4" t="s">
        <v>1490</v>
      </c>
      <c r="B664" s="4">
        <v>2012</v>
      </c>
      <c r="C664" s="4" t="s">
        <v>9</v>
      </c>
      <c r="D664" s="9">
        <v>101</v>
      </c>
      <c r="E664" s="10" t="s">
        <v>78</v>
      </c>
      <c r="F664" s="4">
        <v>10</v>
      </c>
      <c r="G664" s="4" t="s">
        <v>1562</v>
      </c>
      <c r="H664" s="4" t="s">
        <v>1563</v>
      </c>
    </row>
    <row r="665" spans="1:8" ht="15.5" x14ac:dyDescent="0.35">
      <c r="A665" s="4" t="s">
        <v>1490</v>
      </c>
      <c r="B665" s="4">
        <v>2013</v>
      </c>
      <c r="C665" s="4" t="s">
        <v>9</v>
      </c>
      <c r="D665" s="9">
        <v>126</v>
      </c>
      <c r="E665" s="10" t="s">
        <v>63</v>
      </c>
      <c r="F665" s="4">
        <v>23</v>
      </c>
      <c r="G665" s="4" t="s">
        <v>1564</v>
      </c>
      <c r="H665" s="4" t="s">
        <v>1565</v>
      </c>
    </row>
    <row r="666" spans="1:8" ht="15.5" x14ac:dyDescent="0.35">
      <c r="A666" s="4" t="s">
        <v>1490</v>
      </c>
      <c r="B666" s="4">
        <v>2014</v>
      </c>
      <c r="C666" s="4" t="s">
        <v>9</v>
      </c>
      <c r="D666" s="9">
        <v>33</v>
      </c>
      <c r="E666" s="10" t="s">
        <v>36</v>
      </c>
      <c r="F666" s="4">
        <v>16</v>
      </c>
      <c r="G666" s="4" t="s">
        <v>1566</v>
      </c>
      <c r="H666" s="4" t="s">
        <v>1567</v>
      </c>
    </row>
    <row r="667" spans="1:8" ht="15.5" x14ac:dyDescent="0.35">
      <c r="A667" s="4" t="s">
        <v>1490</v>
      </c>
      <c r="B667" s="4">
        <v>2015</v>
      </c>
      <c r="C667" s="4" t="s">
        <v>9</v>
      </c>
      <c r="D667" s="9">
        <v>292</v>
      </c>
      <c r="E667" s="10" t="s">
        <v>1568</v>
      </c>
      <c r="F667" s="4">
        <v>27</v>
      </c>
      <c r="G667" s="4" t="s">
        <v>1569</v>
      </c>
      <c r="H667" s="4" t="s">
        <v>1570</v>
      </c>
    </row>
    <row r="668" spans="1:8" ht="15.5" x14ac:dyDescent="0.35">
      <c r="A668" s="4" t="s">
        <v>1490</v>
      </c>
      <c r="B668" s="4">
        <v>2016</v>
      </c>
      <c r="C668" s="4" t="s">
        <v>9</v>
      </c>
      <c r="D668" s="9">
        <v>124</v>
      </c>
      <c r="E668" s="10" t="s">
        <v>215</v>
      </c>
      <c r="F668" s="4">
        <v>6</v>
      </c>
      <c r="G668" s="4" t="s">
        <v>1571</v>
      </c>
      <c r="H668" s="4" t="s">
        <v>1572</v>
      </c>
    </row>
    <row r="669" spans="1:8" ht="15.5" x14ac:dyDescent="0.35">
      <c r="A669" s="4" t="s">
        <v>1490</v>
      </c>
      <c r="B669" s="4">
        <v>2017</v>
      </c>
      <c r="C669" s="4" t="s">
        <v>9</v>
      </c>
      <c r="D669" s="9">
        <v>334</v>
      </c>
      <c r="E669" s="10" t="s">
        <v>197</v>
      </c>
      <c r="F669" s="4">
        <v>9</v>
      </c>
      <c r="G669" s="4" t="s">
        <v>1573</v>
      </c>
      <c r="H669" s="4" t="s">
        <v>1574</v>
      </c>
    </row>
    <row r="670" spans="1:8" ht="15.5" x14ac:dyDescent="0.35">
      <c r="A670" s="4" t="s">
        <v>1490</v>
      </c>
      <c r="B670" s="4">
        <v>2018</v>
      </c>
      <c r="C670" s="4" t="s">
        <v>9</v>
      </c>
      <c r="D670" s="9">
        <v>308</v>
      </c>
      <c r="E670" s="10" t="s">
        <v>24</v>
      </c>
      <c r="F670" s="4">
        <v>26</v>
      </c>
      <c r="G670" s="4" t="s">
        <v>1575</v>
      </c>
      <c r="H670" s="4" t="s">
        <v>1576</v>
      </c>
    </row>
    <row r="671" spans="1:8" ht="15.5" x14ac:dyDescent="0.35">
      <c r="A671" s="4" t="s">
        <v>1490</v>
      </c>
      <c r="B671" s="4">
        <v>2019</v>
      </c>
      <c r="C671" s="4" t="s">
        <v>9</v>
      </c>
      <c r="D671" s="9">
        <v>472</v>
      </c>
      <c r="E671" s="10" t="s">
        <v>75</v>
      </c>
      <c r="F671" s="4">
        <v>22</v>
      </c>
      <c r="G671" s="4" t="s">
        <v>1577</v>
      </c>
      <c r="H671" s="4" t="s">
        <v>1578</v>
      </c>
    </row>
    <row r="672" spans="1:8" ht="15.5" x14ac:dyDescent="0.35">
      <c r="A672" s="4" t="s">
        <v>1490</v>
      </c>
      <c r="B672" s="4">
        <v>2021</v>
      </c>
      <c r="C672" s="4" t="s">
        <v>9</v>
      </c>
      <c r="D672" s="9">
        <v>524</v>
      </c>
      <c r="E672" s="10" t="s">
        <v>206</v>
      </c>
      <c r="F672" s="4">
        <v>24</v>
      </c>
      <c r="G672" s="4" t="s">
        <v>1579</v>
      </c>
      <c r="H672" s="4" t="s">
        <v>1580</v>
      </c>
    </row>
    <row r="673" spans="1:8" ht="15.5" x14ac:dyDescent="0.35">
      <c r="A673" s="4" t="s">
        <v>1490</v>
      </c>
      <c r="B673" s="4">
        <v>2022</v>
      </c>
      <c r="C673" s="4" t="s">
        <v>9</v>
      </c>
      <c r="D673" s="9">
        <v>268</v>
      </c>
      <c r="E673" s="10" t="s">
        <v>372</v>
      </c>
      <c r="F673" s="4">
        <v>9</v>
      </c>
      <c r="G673" s="4" t="s">
        <v>1581</v>
      </c>
      <c r="H673" s="4" t="s">
        <v>1582</v>
      </c>
    </row>
    <row r="674" spans="1:8" ht="15.5" x14ac:dyDescent="0.35">
      <c r="A674" s="4" t="s">
        <v>1583</v>
      </c>
      <c r="B674" s="4">
        <v>2000</v>
      </c>
      <c r="C674" s="4"/>
      <c r="D674" s="9">
        <v>136</v>
      </c>
      <c r="E674" s="10" t="s">
        <v>436</v>
      </c>
      <c r="F674" s="4">
        <v>21</v>
      </c>
      <c r="G674" s="4" t="s">
        <v>1584</v>
      </c>
      <c r="H674" s="4" t="s">
        <v>1585</v>
      </c>
    </row>
    <row r="675" spans="1:8" ht="15.5" x14ac:dyDescent="0.35">
      <c r="A675" s="4" t="s">
        <v>1583</v>
      </c>
      <c r="B675" s="4">
        <v>2001</v>
      </c>
      <c r="C675" s="4"/>
      <c r="D675" s="9">
        <v>16</v>
      </c>
      <c r="E675" s="10" t="s">
        <v>1586</v>
      </c>
      <c r="F675" s="4">
        <v>9</v>
      </c>
      <c r="G675" s="4" t="s">
        <v>1587</v>
      </c>
      <c r="H675" s="4" t="s">
        <v>1588</v>
      </c>
    </row>
    <row r="676" spans="1:8" ht="15.5" x14ac:dyDescent="0.35">
      <c r="A676" s="4" t="s">
        <v>1583</v>
      </c>
      <c r="B676" s="4">
        <v>2002</v>
      </c>
      <c r="C676" s="4"/>
      <c r="D676" s="9">
        <v>176</v>
      </c>
      <c r="E676" s="10" t="s">
        <v>664</v>
      </c>
      <c r="F676" s="4">
        <v>23</v>
      </c>
      <c r="G676" s="4" t="s">
        <v>1589</v>
      </c>
      <c r="H676" s="4" t="s">
        <v>1590</v>
      </c>
    </row>
    <row r="677" spans="1:8" ht="15.5" x14ac:dyDescent="0.35">
      <c r="A677" s="4" t="s">
        <v>1583</v>
      </c>
      <c r="B677" s="4">
        <v>2003</v>
      </c>
      <c r="C677" s="4"/>
      <c r="D677" s="9">
        <v>5</v>
      </c>
      <c r="E677" s="10" t="s">
        <v>269</v>
      </c>
      <c r="F677" s="4">
        <v>21</v>
      </c>
      <c r="G677" s="4" t="s">
        <v>1591</v>
      </c>
      <c r="H677" s="4" t="s">
        <v>1592</v>
      </c>
    </row>
    <row r="678" spans="1:8" ht="15.5" x14ac:dyDescent="0.35">
      <c r="A678" s="4" t="s">
        <v>1583</v>
      </c>
      <c r="B678" s="4">
        <v>2005</v>
      </c>
      <c r="C678" s="4" t="s">
        <v>9</v>
      </c>
      <c r="D678" s="9">
        <v>153</v>
      </c>
      <c r="E678" s="10" t="s">
        <v>454</v>
      </c>
      <c r="F678" s="4">
        <v>23</v>
      </c>
      <c r="G678" s="4" t="s">
        <v>1593</v>
      </c>
      <c r="H678" s="4" t="s">
        <v>1594</v>
      </c>
    </row>
    <row r="679" spans="1:8" ht="15.5" x14ac:dyDescent="0.35">
      <c r="A679" s="4" t="s">
        <v>1583</v>
      </c>
      <c r="B679" s="4">
        <v>2006</v>
      </c>
      <c r="C679" s="4" t="s">
        <v>9</v>
      </c>
      <c r="D679" s="9">
        <v>30</v>
      </c>
      <c r="E679" s="10" t="s">
        <v>13</v>
      </c>
      <c r="F679" s="4">
        <v>4</v>
      </c>
      <c r="G679" s="4" t="s">
        <v>1595</v>
      </c>
      <c r="H679" s="4" t="s">
        <v>1596</v>
      </c>
    </row>
    <row r="680" spans="1:8" ht="15.5" x14ac:dyDescent="0.35">
      <c r="A680" s="4" t="s">
        <v>1583</v>
      </c>
      <c r="B680" s="4">
        <v>2007</v>
      </c>
      <c r="C680" s="4" t="s">
        <v>9</v>
      </c>
      <c r="D680" s="9">
        <v>54</v>
      </c>
      <c r="E680" s="10" t="s">
        <v>13</v>
      </c>
      <c r="F680" s="4">
        <v>14</v>
      </c>
      <c r="G680" s="4" t="s">
        <v>1597</v>
      </c>
      <c r="H680" s="4" t="s">
        <v>1598</v>
      </c>
    </row>
    <row r="681" spans="1:8" ht="15.5" x14ac:dyDescent="0.35">
      <c r="A681" s="4" t="s">
        <v>1583</v>
      </c>
      <c r="B681" s="4">
        <v>2008</v>
      </c>
      <c r="C681" s="4" t="s">
        <v>9</v>
      </c>
      <c r="D681" s="9">
        <v>83</v>
      </c>
      <c r="E681" s="10" t="s">
        <v>704</v>
      </c>
      <c r="F681" s="4">
        <v>14</v>
      </c>
      <c r="G681" s="4" t="s">
        <v>1599</v>
      </c>
      <c r="H681" s="4" t="s">
        <v>1600</v>
      </c>
    </row>
    <row r="682" spans="1:8" ht="15.5" x14ac:dyDescent="0.35">
      <c r="A682" s="4" t="s">
        <v>1583</v>
      </c>
      <c r="B682" s="4">
        <v>2015</v>
      </c>
      <c r="C682" s="4" t="s">
        <v>9</v>
      </c>
      <c r="D682" s="9">
        <v>186</v>
      </c>
      <c r="E682" s="10" t="s">
        <v>1601</v>
      </c>
      <c r="F682" s="4">
        <v>19</v>
      </c>
      <c r="G682" s="4" t="s">
        <v>1602</v>
      </c>
      <c r="H682" s="4" t="s">
        <v>1603</v>
      </c>
    </row>
    <row r="683" spans="1:8" ht="15.5" x14ac:dyDescent="0.35">
      <c r="A683" s="4" t="s">
        <v>1583</v>
      </c>
      <c r="B683" s="4">
        <v>2016</v>
      </c>
      <c r="C683" s="4" t="s">
        <v>9</v>
      </c>
      <c r="D683" s="9">
        <v>132</v>
      </c>
      <c r="E683" s="10" t="s">
        <v>488</v>
      </c>
      <c r="F683" s="4">
        <v>20</v>
      </c>
      <c r="G683" s="4" t="s">
        <v>1604</v>
      </c>
      <c r="H683" s="4" t="s">
        <v>1605</v>
      </c>
    </row>
    <row r="684" spans="1:8" ht="15.5" x14ac:dyDescent="0.35">
      <c r="A684" s="4" t="s">
        <v>1606</v>
      </c>
      <c r="B684" s="4">
        <v>1994</v>
      </c>
      <c r="C684" s="4"/>
      <c r="D684" s="9">
        <v>0</v>
      </c>
      <c r="E684" s="10" t="s">
        <v>364</v>
      </c>
      <c r="F684" s="4">
        <v>16</v>
      </c>
      <c r="G684" s="4" t="s">
        <v>1607</v>
      </c>
      <c r="H684" s="4" t="s">
        <v>1608</v>
      </c>
    </row>
    <row r="685" spans="1:8" ht="15.5" x14ac:dyDescent="0.35">
      <c r="A685" s="4" t="s">
        <v>1606</v>
      </c>
      <c r="B685" s="4">
        <v>1999</v>
      </c>
      <c r="C685" s="4"/>
      <c r="D685" s="9">
        <v>13</v>
      </c>
      <c r="E685" s="10" t="s">
        <v>361</v>
      </c>
      <c r="F685" s="4">
        <v>1</v>
      </c>
      <c r="G685" s="4" t="s">
        <v>1609</v>
      </c>
      <c r="H685" s="4" t="s">
        <v>1610</v>
      </c>
    </row>
    <row r="686" spans="1:8" ht="15.5" x14ac:dyDescent="0.35">
      <c r="A686" s="4" t="s">
        <v>1606</v>
      </c>
      <c r="B686" s="4">
        <v>2001</v>
      </c>
      <c r="C686" s="4"/>
      <c r="D686" s="9">
        <v>35</v>
      </c>
      <c r="E686" s="10" t="s">
        <v>181</v>
      </c>
      <c r="F686" s="4">
        <v>8</v>
      </c>
      <c r="G686" s="4" t="s">
        <v>1611</v>
      </c>
      <c r="H686" s="4" t="s">
        <v>1612</v>
      </c>
    </row>
    <row r="687" spans="1:8" ht="15.5" x14ac:dyDescent="0.35">
      <c r="A687" s="4" t="s">
        <v>1606</v>
      </c>
      <c r="B687" s="4">
        <v>2002</v>
      </c>
      <c r="C687" s="4"/>
      <c r="D687" s="9">
        <v>12</v>
      </c>
      <c r="E687" s="10" t="s">
        <v>942</v>
      </c>
      <c r="F687" s="4">
        <v>24</v>
      </c>
      <c r="G687" s="4" t="s">
        <v>1613</v>
      </c>
      <c r="H687" s="4" t="s">
        <v>1614</v>
      </c>
    </row>
    <row r="688" spans="1:8" ht="15.5" x14ac:dyDescent="0.35">
      <c r="A688" s="4" t="s">
        <v>1606</v>
      </c>
      <c r="B688" s="4">
        <v>2006</v>
      </c>
      <c r="C688" s="4" t="s">
        <v>9</v>
      </c>
      <c r="D688" s="9">
        <v>162</v>
      </c>
      <c r="E688" s="10" t="s">
        <v>257</v>
      </c>
      <c r="F688" s="4">
        <v>14</v>
      </c>
      <c r="G688" s="4" t="s">
        <v>1615</v>
      </c>
      <c r="H688" s="4" t="s">
        <v>1616</v>
      </c>
    </row>
    <row r="689" spans="1:8" ht="15.5" x14ac:dyDescent="0.35">
      <c r="A689" s="4" t="s">
        <v>1606</v>
      </c>
      <c r="B689" s="4">
        <v>2007</v>
      </c>
      <c r="C689" s="4" t="s">
        <v>9</v>
      </c>
      <c r="D689" s="9">
        <v>28</v>
      </c>
      <c r="E689" s="10" t="s">
        <v>200</v>
      </c>
      <c r="F689" s="4">
        <v>9</v>
      </c>
      <c r="G689" s="4" t="s">
        <v>1617</v>
      </c>
      <c r="H689" s="4" t="s">
        <v>1618</v>
      </c>
    </row>
    <row r="690" spans="1:8" ht="15.5" x14ac:dyDescent="0.35">
      <c r="A690" s="4" t="s">
        <v>1606</v>
      </c>
      <c r="B690" s="4">
        <v>2009</v>
      </c>
      <c r="C690" s="4" t="s">
        <v>9</v>
      </c>
      <c r="D690" s="9">
        <v>23</v>
      </c>
      <c r="E690" s="10" t="s">
        <v>1113</v>
      </c>
      <c r="F690" s="4">
        <v>1</v>
      </c>
      <c r="G690" s="4" t="s">
        <v>1619</v>
      </c>
      <c r="H690" s="4" t="s">
        <v>1620</v>
      </c>
    </row>
    <row r="691" spans="1:8" ht="15.5" x14ac:dyDescent="0.35">
      <c r="A691" s="4" t="s">
        <v>1606</v>
      </c>
      <c r="B691" s="4">
        <v>2011</v>
      </c>
      <c r="C691" s="4" t="s">
        <v>9</v>
      </c>
      <c r="D691" s="9">
        <v>63</v>
      </c>
      <c r="E691" s="10" t="s">
        <v>405</v>
      </c>
      <c r="F691" s="4">
        <v>4</v>
      </c>
      <c r="G691" s="4" t="s">
        <v>1621</v>
      </c>
      <c r="H691" s="4" t="s">
        <v>1622</v>
      </c>
    </row>
    <row r="692" spans="1:8" ht="15.5" x14ac:dyDescent="0.35">
      <c r="A692" s="4" t="s">
        <v>1606</v>
      </c>
      <c r="B692" s="4">
        <v>2012</v>
      </c>
      <c r="C692" s="4" t="s">
        <v>9</v>
      </c>
      <c r="D692" s="9">
        <v>70</v>
      </c>
      <c r="E692" s="10" t="s">
        <v>246</v>
      </c>
      <c r="F692" s="4">
        <v>4</v>
      </c>
      <c r="G692" s="4" t="s">
        <v>1623</v>
      </c>
      <c r="H692" s="4" t="s">
        <v>1624</v>
      </c>
    </row>
    <row r="693" spans="1:8" ht="15.5" x14ac:dyDescent="0.35">
      <c r="A693" s="4" t="s">
        <v>1606</v>
      </c>
      <c r="B693" s="4">
        <v>2013</v>
      </c>
      <c r="C693" s="4" t="s">
        <v>9</v>
      </c>
      <c r="D693" s="9">
        <v>17</v>
      </c>
      <c r="E693" s="10" t="s">
        <v>238</v>
      </c>
      <c r="F693" s="4">
        <v>2</v>
      </c>
      <c r="G693" s="4" t="s">
        <v>1625</v>
      </c>
      <c r="H693" s="4" t="s">
        <v>1626</v>
      </c>
    </row>
    <row r="694" spans="1:8" ht="15.5" x14ac:dyDescent="0.35">
      <c r="A694" s="4" t="s">
        <v>1606</v>
      </c>
      <c r="B694" s="4">
        <v>2015</v>
      </c>
      <c r="C694" s="4" t="s">
        <v>9</v>
      </c>
      <c r="D694" s="9">
        <v>30</v>
      </c>
      <c r="E694" s="10" t="s">
        <v>1627</v>
      </c>
      <c r="F694" s="4">
        <v>7</v>
      </c>
      <c r="G694" s="4" t="s">
        <v>1628</v>
      </c>
      <c r="H694" s="4" t="s">
        <v>1629</v>
      </c>
    </row>
    <row r="695" spans="1:8" ht="15.5" x14ac:dyDescent="0.35">
      <c r="A695" s="4" t="s">
        <v>1606</v>
      </c>
      <c r="B695" s="4">
        <v>2016</v>
      </c>
      <c r="C695" s="4" t="s">
        <v>9</v>
      </c>
      <c r="D695" s="9">
        <v>200</v>
      </c>
      <c r="E695" s="10" t="s">
        <v>78</v>
      </c>
      <c r="F695" s="4">
        <v>16</v>
      </c>
      <c r="G695" s="4" t="s">
        <v>1623</v>
      </c>
      <c r="H695" s="4" t="s">
        <v>1630</v>
      </c>
    </row>
    <row r="696" spans="1:8" ht="15.5" x14ac:dyDescent="0.35">
      <c r="A696" s="4" t="s">
        <v>1606</v>
      </c>
      <c r="B696" s="4">
        <v>2018</v>
      </c>
      <c r="C696" s="4" t="s">
        <v>9</v>
      </c>
      <c r="D696" s="9">
        <v>181</v>
      </c>
      <c r="E696" s="10" t="s">
        <v>391</v>
      </c>
      <c r="F696" s="4">
        <v>4</v>
      </c>
      <c r="G696" s="4" t="s">
        <v>1631</v>
      </c>
      <c r="H696" s="4" t="s">
        <v>1632</v>
      </c>
    </row>
    <row r="697" spans="1:8" ht="15.5" x14ac:dyDescent="0.35">
      <c r="A697" s="4" t="s">
        <v>1606</v>
      </c>
      <c r="B697" s="4">
        <v>2021</v>
      </c>
      <c r="C697" s="4" t="s">
        <v>9</v>
      </c>
      <c r="D697" s="9">
        <v>220</v>
      </c>
      <c r="E697" s="10" t="s">
        <v>249</v>
      </c>
      <c r="F697" s="4">
        <v>18</v>
      </c>
      <c r="G697" s="4" t="s">
        <v>1633</v>
      </c>
      <c r="H697" s="4" t="s">
        <v>1634</v>
      </c>
    </row>
    <row r="698" spans="1:8" ht="15.5" x14ac:dyDescent="0.35">
      <c r="A698" s="4" t="s">
        <v>1606</v>
      </c>
      <c r="B698" s="4">
        <v>2022</v>
      </c>
      <c r="C698" s="4" t="s">
        <v>9</v>
      </c>
      <c r="D698" s="9">
        <v>128</v>
      </c>
      <c r="E698" s="10" t="s">
        <v>177</v>
      </c>
      <c r="F698" s="4">
        <v>14</v>
      </c>
      <c r="G698" s="4" t="s">
        <v>1635</v>
      </c>
      <c r="H698" s="4" t="s">
        <v>1636</v>
      </c>
    </row>
    <row r="699" spans="1:8" ht="15.5" x14ac:dyDescent="0.35">
      <c r="A699" s="4" t="s">
        <v>1637</v>
      </c>
      <c r="B699" s="4">
        <v>1957</v>
      </c>
      <c r="C699" s="4"/>
      <c r="D699" s="9">
        <v>8</v>
      </c>
      <c r="E699" s="10" t="s">
        <v>1007</v>
      </c>
      <c r="F699" s="4">
        <v>2</v>
      </c>
      <c r="G699" s="4" t="s">
        <v>1638</v>
      </c>
      <c r="H699" s="4" t="s">
        <v>1639</v>
      </c>
    </row>
    <row r="700" spans="1:8" ht="15.5" x14ac:dyDescent="0.35">
      <c r="A700" s="4" t="s">
        <v>1637</v>
      </c>
      <c r="B700" s="4">
        <v>1958</v>
      </c>
      <c r="C700" s="4"/>
      <c r="D700" s="9">
        <v>1</v>
      </c>
      <c r="E700" s="10" t="s">
        <v>1640</v>
      </c>
      <c r="F700" s="4">
        <v>4</v>
      </c>
      <c r="G700" s="4" t="s">
        <v>1641</v>
      </c>
      <c r="H700" s="4" t="s">
        <v>1642</v>
      </c>
    </row>
    <row r="701" spans="1:8" ht="15.5" x14ac:dyDescent="0.35">
      <c r="A701" s="4" t="s">
        <v>1637</v>
      </c>
      <c r="B701" s="4">
        <v>1960</v>
      </c>
      <c r="C701" s="4"/>
      <c r="D701" s="9">
        <v>1</v>
      </c>
      <c r="E701" s="10" t="s">
        <v>1643</v>
      </c>
      <c r="F701" s="4">
        <v>3</v>
      </c>
      <c r="G701" s="4" t="s">
        <v>1644</v>
      </c>
      <c r="H701" s="4" t="s">
        <v>1645</v>
      </c>
    </row>
    <row r="702" spans="1:8" ht="15.5" x14ac:dyDescent="0.35">
      <c r="A702" s="4" t="s">
        <v>1637</v>
      </c>
      <c r="B702" s="4">
        <v>1961</v>
      </c>
      <c r="C702" s="4"/>
      <c r="D702" s="9">
        <v>31</v>
      </c>
      <c r="E702" s="10" t="s">
        <v>608</v>
      </c>
      <c r="F702" s="4">
        <v>14</v>
      </c>
      <c r="G702" s="4" t="s">
        <v>1646</v>
      </c>
      <c r="H702" s="4" t="s">
        <v>1647</v>
      </c>
    </row>
    <row r="703" spans="1:8" ht="15.5" x14ac:dyDescent="0.35">
      <c r="A703" s="4" t="s">
        <v>1637</v>
      </c>
      <c r="B703" s="4">
        <v>1962</v>
      </c>
      <c r="C703" s="4"/>
      <c r="D703" s="9">
        <v>11</v>
      </c>
      <c r="E703" s="10" t="s">
        <v>1504</v>
      </c>
      <c r="F703" s="4">
        <v>14</v>
      </c>
      <c r="G703" s="4" t="s">
        <v>1644</v>
      </c>
      <c r="H703" s="4" t="s">
        <v>1648</v>
      </c>
    </row>
    <row r="704" spans="1:8" ht="15.5" x14ac:dyDescent="0.35">
      <c r="A704" s="4" t="s">
        <v>1637</v>
      </c>
      <c r="B704" s="4">
        <v>1963</v>
      </c>
      <c r="C704" s="4"/>
      <c r="D704" s="9">
        <v>13</v>
      </c>
      <c r="E704" s="10" t="s">
        <v>1649</v>
      </c>
      <c r="F704" s="4">
        <v>16</v>
      </c>
      <c r="G704" s="4" t="s">
        <v>1650</v>
      </c>
      <c r="H704" s="4" t="s">
        <v>1651</v>
      </c>
    </row>
    <row r="705" spans="1:8" ht="15.5" x14ac:dyDescent="0.35">
      <c r="A705" s="4" t="s">
        <v>1637</v>
      </c>
      <c r="B705" s="4">
        <v>1964</v>
      </c>
      <c r="C705" s="4"/>
      <c r="D705" s="9">
        <v>14</v>
      </c>
      <c r="E705" s="10" t="s">
        <v>858</v>
      </c>
      <c r="F705" s="4">
        <v>1</v>
      </c>
      <c r="G705" s="4" t="s">
        <v>1652</v>
      </c>
      <c r="H705" s="4" t="s">
        <v>1653</v>
      </c>
    </row>
    <row r="706" spans="1:8" ht="15.5" x14ac:dyDescent="0.35">
      <c r="A706" s="4" t="s">
        <v>1637</v>
      </c>
      <c r="B706" s="4">
        <v>1965</v>
      </c>
      <c r="C706" s="4"/>
      <c r="D706" s="9">
        <v>32</v>
      </c>
      <c r="E706" s="10" t="s">
        <v>116</v>
      </c>
      <c r="F706" s="4">
        <v>15</v>
      </c>
      <c r="G706" s="4" t="s">
        <v>1654</v>
      </c>
      <c r="H706" s="4" t="s">
        <v>1655</v>
      </c>
    </row>
    <row r="707" spans="1:8" ht="15.5" x14ac:dyDescent="0.35">
      <c r="A707" s="4" t="s">
        <v>1637</v>
      </c>
      <c r="B707" s="4">
        <v>1966</v>
      </c>
      <c r="C707" s="4"/>
      <c r="D707" s="9">
        <v>7</v>
      </c>
      <c r="E707" s="10" t="s">
        <v>747</v>
      </c>
      <c r="F707" s="4">
        <v>4</v>
      </c>
      <c r="G707" s="4" t="s">
        <v>1656</v>
      </c>
      <c r="H707" s="4" t="s">
        <v>1657</v>
      </c>
    </row>
    <row r="708" spans="1:8" ht="15.5" x14ac:dyDescent="0.35">
      <c r="A708" s="4" t="s">
        <v>1637</v>
      </c>
      <c r="B708" s="4">
        <v>1967</v>
      </c>
      <c r="C708" s="4"/>
      <c r="D708" s="9">
        <v>17</v>
      </c>
      <c r="E708" s="10" t="s">
        <v>1323</v>
      </c>
      <c r="F708" s="4">
        <v>2</v>
      </c>
      <c r="G708" s="4" t="s">
        <v>1658</v>
      </c>
      <c r="H708" s="4" t="s">
        <v>1659</v>
      </c>
    </row>
    <row r="709" spans="1:8" ht="15.5" x14ac:dyDescent="0.35">
      <c r="A709" s="4" t="s">
        <v>1637</v>
      </c>
      <c r="B709" s="4">
        <v>1968</v>
      </c>
      <c r="C709" s="4"/>
      <c r="D709" s="9">
        <v>5</v>
      </c>
      <c r="E709" s="10" t="s">
        <v>1142</v>
      </c>
      <c r="F709" s="4">
        <v>5</v>
      </c>
      <c r="G709" s="4" t="s">
        <v>1660</v>
      </c>
      <c r="H709" s="4" t="s">
        <v>1661</v>
      </c>
    </row>
    <row r="710" spans="1:8" ht="15.5" x14ac:dyDescent="0.35">
      <c r="A710" s="4" t="s">
        <v>1637</v>
      </c>
      <c r="B710" s="4">
        <v>1969</v>
      </c>
      <c r="C710" s="4"/>
      <c r="D710" s="9">
        <v>7</v>
      </c>
      <c r="E710" s="10" t="s">
        <v>1662</v>
      </c>
      <c r="F710" s="4">
        <v>2</v>
      </c>
      <c r="G710" s="4" t="s">
        <v>1663</v>
      </c>
      <c r="H710" s="4" t="s">
        <v>1664</v>
      </c>
    </row>
    <row r="711" spans="1:8" ht="15.5" x14ac:dyDescent="0.35">
      <c r="A711" s="4" t="s">
        <v>1637</v>
      </c>
      <c r="B711" s="4">
        <v>1970</v>
      </c>
      <c r="C711" s="4"/>
      <c r="D711" s="9">
        <v>0</v>
      </c>
      <c r="E711" s="10" t="s">
        <v>1665</v>
      </c>
      <c r="F711" s="4">
        <v>8</v>
      </c>
      <c r="G711" s="4" t="s">
        <v>1666</v>
      </c>
      <c r="H711" s="4" t="s">
        <v>1667</v>
      </c>
    </row>
    <row r="712" spans="1:8" ht="15.5" x14ac:dyDescent="0.35">
      <c r="A712" s="4" t="s">
        <v>1637</v>
      </c>
      <c r="B712" s="4">
        <v>1971</v>
      </c>
      <c r="C712" s="4"/>
      <c r="D712" s="9">
        <v>70</v>
      </c>
      <c r="E712" s="10" t="s">
        <v>1145</v>
      </c>
      <c r="F712" s="4">
        <v>8</v>
      </c>
      <c r="G712" s="4" t="s">
        <v>1668</v>
      </c>
      <c r="H712" s="4" t="s">
        <v>1669</v>
      </c>
    </row>
    <row r="713" spans="1:8" ht="15.5" x14ac:dyDescent="0.35">
      <c r="A713" s="4" t="s">
        <v>1637</v>
      </c>
      <c r="B713" s="4">
        <v>1972</v>
      </c>
      <c r="C713" s="4"/>
      <c r="D713" s="9">
        <v>128</v>
      </c>
      <c r="E713" s="10" t="s">
        <v>116</v>
      </c>
      <c r="F713" s="4">
        <v>17</v>
      </c>
      <c r="G713" s="4" t="s">
        <v>1670</v>
      </c>
      <c r="H713" s="4" t="s">
        <v>1671</v>
      </c>
    </row>
    <row r="714" spans="1:8" ht="15.5" x14ac:dyDescent="0.35">
      <c r="A714" s="4" t="s">
        <v>1637</v>
      </c>
      <c r="B714" s="4">
        <v>1973</v>
      </c>
      <c r="C714" s="4"/>
      <c r="D714" s="9">
        <v>129</v>
      </c>
      <c r="E714" s="10" t="s">
        <v>1672</v>
      </c>
      <c r="F714" s="4">
        <v>11</v>
      </c>
      <c r="G714" s="4" t="s">
        <v>899</v>
      </c>
      <c r="H714" s="4" t="s">
        <v>1673</v>
      </c>
    </row>
    <row r="715" spans="1:8" ht="15.5" x14ac:dyDescent="0.35">
      <c r="A715" s="4" t="s">
        <v>1637</v>
      </c>
      <c r="B715" s="4">
        <v>1974</v>
      </c>
      <c r="C715" s="4"/>
      <c r="D715" s="9">
        <v>14</v>
      </c>
      <c r="E715" s="10" t="s">
        <v>1323</v>
      </c>
      <c r="F715" s="4">
        <v>9</v>
      </c>
      <c r="G715" s="4" t="s">
        <v>1053</v>
      </c>
      <c r="H715" s="4" t="s">
        <v>1674</v>
      </c>
    </row>
    <row r="716" spans="1:8" ht="15.5" x14ac:dyDescent="0.35">
      <c r="A716" s="4" t="s">
        <v>1637</v>
      </c>
      <c r="B716" s="4">
        <v>1975</v>
      </c>
      <c r="C716" s="4"/>
      <c r="D716" s="9">
        <v>84</v>
      </c>
      <c r="E716" s="10" t="s">
        <v>338</v>
      </c>
      <c r="F716" s="4">
        <v>5</v>
      </c>
      <c r="G716" s="4" t="s">
        <v>1675</v>
      </c>
      <c r="H716" s="4" t="s">
        <v>1676</v>
      </c>
    </row>
    <row r="717" spans="1:8" ht="15.5" x14ac:dyDescent="0.35">
      <c r="A717" s="4" t="s">
        <v>1637</v>
      </c>
      <c r="B717" s="4">
        <v>1976</v>
      </c>
      <c r="C717" s="4"/>
      <c r="D717" s="9">
        <v>17</v>
      </c>
      <c r="E717" s="10" t="s">
        <v>304</v>
      </c>
      <c r="F717" s="4">
        <v>5</v>
      </c>
      <c r="G717" s="4" t="s">
        <v>1677</v>
      </c>
      <c r="H717" s="4" t="s">
        <v>1678</v>
      </c>
    </row>
    <row r="718" spans="1:8" ht="15.5" x14ac:dyDescent="0.35">
      <c r="A718" s="4" t="s">
        <v>1637</v>
      </c>
      <c r="B718" s="4">
        <v>1977</v>
      </c>
      <c r="C718" s="4"/>
      <c r="D718" s="9">
        <v>17</v>
      </c>
      <c r="E718" s="10" t="s">
        <v>124</v>
      </c>
      <c r="F718" s="4">
        <v>7</v>
      </c>
      <c r="G718" s="4" t="s">
        <v>1679</v>
      </c>
      <c r="H718" s="4" t="s">
        <v>1680</v>
      </c>
    </row>
    <row r="719" spans="1:8" ht="15.5" x14ac:dyDescent="0.35">
      <c r="A719" s="4" t="s">
        <v>1637</v>
      </c>
      <c r="B719" s="4">
        <v>1978</v>
      </c>
      <c r="C719" s="4"/>
      <c r="D719" s="9">
        <v>73</v>
      </c>
      <c r="E719" s="10" t="s">
        <v>1426</v>
      </c>
      <c r="F719" s="4">
        <v>17</v>
      </c>
      <c r="G719" s="4" t="s">
        <v>1681</v>
      </c>
      <c r="H719" s="4" t="s">
        <v>1682</v>
      </c>
    </row>
    <row r="720" spans="1:8" ht="15.5" x14ac:dyDescent="0.35">
      <c r="A720" s="4" t="s">
        <v>1637</v>
      </c>
      <c r="B720" s="4">
        <v>1979</v>
      </c>
      <c r="C720" s="4"/>
      <c r="D720" s="9">
        <v>44</v>
      </c>
      <c r="E720" s="10" t="s">
        <v>1065</v>
      </c>
      <c r="F720" s="4">
        <v>13</v>
      </c>
      <c r="G720" s="4" t="s">
        <v>1683</v>
      </c>
      <c r="H720" s="4" t="s">
        <v>1684</v>
      </c>
    </row>
    <row r="721" spans="1:8" ht="15.5" x14ac:dyDescent="0.35">
      <c r="A721" s="4" t="s">
        <v>1637</v>
      </c>
      <c r="B721" s="4">
        <v>1980</v>
      </c>
      <c r="C721" s="4"/>
      <c r="D721" s="9">
        <v>56</v>
      </c>
      <c r="E721" s="10" t="s">
        <v>789</v>
      </c>
      <c r="F721" s="4">
        <v>4</v>
      </c>
      <c r="G721" s="4" t="s">
        <v>1685</v>
      </c>
      <c r="H721" s="4" t="s">
        <v>1686</v>
      </c>
    </row>
    <row r="722" spans="1:8" ht="15.5" x14ac:dyDescent="0.35">
      <c r="A722" s="4" t="s">
        <v>1637</v>
      </c>
      <c r="B722" s="4">
        <v>1981</v>
      </c>
      <c r="C722" s="4"/>
      <c r="D722" s="9">
        <v>41</v>
      </c>
      <c r="E722" s="10" t="s">
        <v>626</v>
      </c>
      <c r="F722" s="4">
        <v>4</v>
      </c>
      <c r="G722" s="4" t="s">
        <v>1646</v>
      </c>
      <c r="H722" s="4" t="s">
        <v>1687</v>
      </c>
    </row>
    <row r="723" spans="1:8" ht="15.5" x14ac:dyDescent="0.35">
      <c r="A723" s="4" t="s">
        <v>1637</v>
      </c>
      <c r="B723" s="4">
        <v>1982</v>
      </c>
      <c r="C723" s="4"/>
      <c r="D723" s="9">
        <v>78</v>
      </c>
      <c r="E723" s="10" t="s">
        <v>1315</v>
      </c>
      <c r="F723" s="4">
        <v>2</v>
      </c>
      <c r="G723" s="4" t="s">
        <v>1688</v>
      </c>
      <c r="H723" s="4" t="s">
        <v>1689</v>
      </c>
    </row>
    <row r="724" spans="1:8" ht="15.5" x14ac:dyDescent="0.35">
      <c r="A724" s="4" t="s">
        <v>1637</v>
      </c>
      <c r="B724" s="4">
        <v>1983</v>
      </c>
      <c r="C724" s="4"/>
      <c r="D724" s="9">
        <v>142</v>
      </c>
      <c r="E724" s="10" t="s">
        <v>343</v>
      </c>
      <c r="F724" s="4">
        <v>20</v>
      </c>
      <c r="G724" s="4" t="s">
        <v>1690</v>
      </c>
      <c r="H724" s="4" t="s">
        <v>1691</v>
      </c>
    </row>
    <row r="725" spans="1:8" ht="15.5" x14ac:dyDescent="0.35">
      <c r="A725" s="4" t="s">
        <v>1637</v>
      </c>
      <c r="B725" s="4">
        <v>1984</v>
      </c>
      <c r="C725" s="4"/>
      <c r="D725" s="9">
        <v>39</v>
      </c>
      <c r="E725" s="10" t="s">
        <v>909</v>
      </c>
      <c r="F725" s="4">
        <v>2</v>
      </c>
      <c r="G725" s="4" t="s">
        <v>1692</v>
      </c>
      <c r="H725" s="4" t="s">
        <v>1693</v>
      </c>
    </row>
    <row r="726" spans="1:8" ht="15.5" x14ac:dyDescent="0.35">
      <c r="A726" s="4" t="s">
        <v>1637</v>
      </c>
      <c r="B726" s="4">
        <v>1985</v>
      </c>
      <c r="C726" s="4"/>
      <c r="D726" s="9">
        <v>37</v>
      </c>
      <c r="E726" s="10" t="s">
        <v>1065</v>
      </c>
      <c r="F726" s="4">
        <v>18</v>
      </c>
      <c r="G726" s="4" t="s">
        <v>1694</v>
      </c>
      <c r="H726" s="4" t="s">
        <v>1695</v>
      </c>
    </row>
    <row r="727" spans="1:8" ht="15.5" x14ac:dyDescent="0.35">
      <c r="A727" s="4" t="s">
        <v>1637</v>
      </c>
      <c r="B727" s="4">
        <v>1986</v>
      </c>
      <c r="C727" s="4"/>
      <c r="D727" s="9">
        <v>117</v>
      </c>
      <c r="E727" s="10" t="s">
        <v>895</v>
      </c>
      <c r="F727" s="4">
        <v>1</v>
      </c>
      <c r="G727" s="4" t="s">
        <v>1696</v>
      </c>
      <c r="H727" s="4" t="s">
        <v>1697</v>
      </c>
    </row>
    <row r="728" spans="1:8" ht="15.5" x14ac:dyDescent="0.35">
      <c r="A728" s="4" t="s">
        <v>1637</v>
      </c>
      <c r="B728" s="4">
        <v>1987</v>
      </c>
      <c r="C728" s="4"/>
      <c r="D728" s="9">
        <v>4</v>
      </c>
      <c r="E728" s="10" t="s">
        <v>804</v>
      </c>
      <c r="F728" s="4">
        <v>13</v>
      </c>
      <c r="G728" s="4" t="s">
        <v>1698</v>
      </c>
      <c r="H728" s="4" t="s">
        <v>1699</v>
      </c>
    </row>
    <row r="729" spans="1:8" ht="15.5" x14ac:dyDescent="0.35">
      <c r="A729" s="4" t="s">
        <v>1637</v>
      </c>
      <c r="B729" s="4">
        <v>1988</v>
      </c>
      <c r="C729" s="4"/>
      <c r="D729" s="9">
        <v>90</v>
      </c>
      <c r="E729" s="10" t="s">
        <v>1700</v>
      </c>
      <c r="F729" s="4">
        <v>17</v>
      </c>
      <c r="G729" s="4" t="s">
        <v>1701</v>
      </c>
      <c r="H729" s="4" t="s">
        <v>1702</v>
      </c>
    </row>
    <row r="730" spans="1:8" ht="15.5" x14ac:dyDescent="0.35">
      <c r="A730" s="4" t="s">
        <v>1637</v>
      </c>
      <c r="B730" s="4">
        <v>1989</v>
      </c>
      <c r="C730" s="4"/>
      <c r="D730" s="9">
        <v>8</v>
      </c>
      <c r="E730" s="10" t="s">
        <v>161</v>
      </c>
      <c r="F730" s="4">
        <v>11</v>
      </c>
      <c r="G730" s="4" t="s">
        <v>1703</v>
      </c>
      <c r="H730" s="4" t="s">
        <v>1704</v>
      </c>
    </row>
    <row r="731" spans="1:8" ht="15.5" x14ac:dyDescent="0.35">
      <c r="A731" s="4" t="s">
        <v>1637</v>
      </c>
      <c r="B731" s="4">
        <v>1990</v>
      </c>
      <c r="C731" s="4"/>
      <c r="D731" s="9">
        <v>38</v>
      </c>
      <c r="E731" s="10" t="s">
        <v>1171</v>
      </c>
      <c r="F731" s="4">
        <v>6</v>
      </c>
      <c r="G731" s="4" t="s">
        <v>1705</v>
      </c>
      <c r="H731" s="4" t="s">
        <v>1706</v>
      </c>
    </row>
    <row r="732" spans="1:8" ht="15.5" x14ac:dyDescent="0.35">
      <c r="A732" s="4" t="s">
        <v>1637</v>
      </c>
      <c r="B732" s="4">
        <v>1991</v>
      </c>
      <c r="C732" s="4"/>
      <c r="D732" s="9">
        <v>29</v>
      </c>
      <c r="E732" s="10" t="s">
        <v>529</v>
      </c>
      <c r="F732" s="4">
        <v>7</v>
      </c>
      <c r="G732" s="4" t="s">
        <v>1707</v>
      </c>
      <c r="H732" s="4" t="s">
        <v>1708</v>
      </c>
    </row>
    <row r="733" spans="1:8" ht="15.5" x14ac:dyDescent="0.35">
      <c r="A733" s="4" t="s">
        <v>1637</v>
      </c>
      <c r="B733" s="4">
        <v>1992</v>
      </c>
      <c r="C733" s="4"/>
      <c r="D733" s="9">
        <v>10</v>
      </c>
      <c r="E733" s="10" t="s">
        <v>1393</v>
      </c>
      <c r="F733" s="4">
        <v>14</v>
      </c>
      <c r="G733" s="4" t="s">
        <v>1709</v>
      </c>
      <c r="H733" s="4" t="s">
        <v>1710</v>
      </c>
    </row>
    <row r="734" spans="1:8" ht="15.5" x14ac:dyDescent="0.35">
      <c r="A734" s="4" t="s">
        <v>1637</v>
      </c>
      <c r="B734" s="4">
        <v>1993</v>
      </c>
      <c r="C734" s="4"/>
      <c r="D734" s="9">
        <v>11</v>
      </c>
      <c r="E734" s="10" t="s">
        <v>68</v>
      </c>
      <c r="F734" s="4">
        <v>15</v>
      </c>
      <c r="G734" s="4" t="s">
        <v>1711</v>
      </c>
      <c r="H734" s="4" t="s">
        <v>1712</v>
      </c>
    </row>
    <row r="735" spans="1:8" ht="15.5" x14ac:dyDescent="0.35">
      <c r="A735" s="4" t="s">
        <v>1713</v>
      </c>
      <c r="B735" s="4">
        <v>1998</v>
      </c>
      <c r="C735" s="4"/>
      <c r="D735" s="9">
        <v>16</v>
      </c>
      <c r="E735" s="10" t="s">
        <v>405</v>
      </c>
      <c r="F735" s="4">
        <v>25</v>
      </c>
      <c r="G735" s="4" t="s">
        <v>1714</v>
      </c>
      <c r="H735" s="4" t="s">
        <v>1715</v>
      </c>
    </row>
    <row r="736" spans="1:8" ht="15.5" x14ac:dyDescent="0.35">
      <c r="A736" s="4" t="s">
        <v>1713</v>
      </c>
      <c r="B736" s="4">
        <v>2000</v>
      </c>
      <c r="C736" s="4"/>
      <c r="D736" s="9">
        <v>29</v>
      </c>
      <c r="E736" s="10" t="s">
        <v>951</v>
      </c>
      <c r="F736" s="4">
        <v>19</v>
      </c>
      <c r="G736" s="4" t="s">
        <v>1716</v>
      </c>
      <c r="H736" s="4" t="s">
        <v>1717</v>
      </c>
    </row>
    <row r="737" spans="1:8" ht="15.5" x14ac:dyDescent="0.35">
      <c r="A737" s="4" t="s">
        <v>1713</v>
      </c>
      <c r="B737" s="4">
        <v>2002</v>
      </c>
      <c r="C737" s="4"/>
      <c r="D737" s="9">
        <v>25</v>
      </c>
      <c r="E737" s="10" t="s">
        <v>1110</v>
      </c>
      <c r="F737" s="4">
        <v>9</v>
      </c>
      <c r="G737" s="4" t="s">
        <v>1718</v>
      </c>
      <c r="H737" s="4" t="s">
        <v>1719</v>
      </c>
    </row>
    <row r="738" spans="1:8" ht="15.5" x14ac:dyDescent="0.35">
      <c r="A738" s="4" t="s">
        <v>1713</v>
      </c>
      <c r="B738" s="4">
        <v>2004</v>
      </c>
      <c r="C738" s="4" t="s">
        <v>9</v>
      </c>
      <c r="D738" s="9">
        <v>47</v>
      </c>
      <c r="E738" s="10" t="s">
        <v>191</v>
      </c>
      <c r="F738" s="4">
        <v>15</v>
      </c>
      <c r="G738" s="4" t="s">
        <v>1720</v>
      </c>
      <c r="H738" s="4" t="s">
        <v>1721</v>
      </c>
    </row>
    <row r="739" spans="1:8" ht="15.5" x14ac:dyDescent="0.35">
      <c r="A739" s="4" t="s">
        <v>1713</v>
      </c>
      <c r="B739" s="4">
        <v>2005</v>
      </c>
      <c r="C739" s="4" t="s">
        <v>9</v>
      </c>
      <c r="D739" s="9">
        <v>52</v>
      </c>
      <c r="E739" s="10" t="s">
        <v>826</v>
      </c>
      <c r="F739" s="4">
        <v>15</v>
      </c>
      <c r="G739" s="4" t="s">
        <v>1722</v>
      </c>
      <c r="H739" s="4" t="s">
        <v>1723</v>
      </c>
    </row>
    <row r="740" spans="1:8" ht="15.5" x14ac:dyDescent="0.35">
      <c r="A740" s="4" t="s">
        <v>1713</v>
      </c>
      <c r="B740" s="4">
        <v>2006</v>
      </c>
      <c r="C740" s="4" t="s">
        <v>9</v>
      </c>
      <c r="D740" s="9">
        <v>56</v>
      </c>
      <c r="E740" s="10" t="s">
        <v>491</v>
      </c>
      <c r="F740" s="4">
        <v>11</v>
      </c>
      <c r="G740" s="4" t="s">
        <v>1724</v>
      </c>
      <c r="H740" s="4" t="s">
        <v>1725</v>
      </c>
    </row>
    <row r="741" spans="1:8" ht="15.5" x14ac:dyDescent="0.35">
      <c r="A741" s="4" t="s">
        <v>1713</v>
      </c>
      <c r="B741" s="4">
        <v>2007</v>
      </c>
      <c r="C741" s="4" t="s">
        <v>9</v>
      </c>
      <c r="D741" s="9">
        <v>73</v>
      </c>
      <c r="E741" s="10" t="s">
        <v>191</v>
      </c>
      <c r="F741" s="4">
        <v>6</v>
      </c>
      <c r="G741" s="4" t="s">
        <v>1718</v>
      </c>
      <c r="H741" s="4" t="s">
        <v>1726</v>
      </c>
    </row>
    <row r="742" spans="1:8" ht="15.5" x14ac:dyDescent="0.35">
      <c r="A742" s="4" t="s">
        <v>1713</v>
      </c>
      <c r="B742" s="4">
        <v>2012</v>
      </c>
      <c r="C742" s="4" t="s">
        <v>9</v>
      </c>
      <c r="D742" s="9">
        <v>71</v>
      </c>
      <c r="E742" s="10" t="s">
        <v>212</v>
      </c>
      <c r="F742" s="4">
        <v>22</v>
      </c>
      <c r="G742" s="4" t="s">
        <v>1727</v>
      </c>
      <c r="H742" s="4" t="s">
        <v>1728</v>
      </c>
    </row>
    <row r="743" spans="1:8" ht="15.5" x14ac:dyDescent="0.35">
      <c r="A743" s="4" t="s">
        <v>1713</v>
      </c>
      <c r="B743" s="4">
        <v>2019</v>
      </c>
      <c r="C743" s="4" t="s">
        <v>9</v>
      </c>
      <c r="D743" s="9">
        <v>305</v>
      </c>
      <c r="E743" s="10" t="s">
        <v>63</v>
      </c>
      <c r="F743" s="4">
        <v>8</v>
      </c>
      <c r="G743" s="4" t="s">
        <v>1729</v>
      </c>
      <c r="H743" s="4" t="s">
        <v>1730</v>
      </c>
    </row>
    <row r="744" spans="1:8" ht="15.5" x14ac:dyDescent="0.35">
      <c r="A744" s="4" t="s">
        <v>1731</v>
      </c>
      <c r="B744" s="4">
        <v>1971</v>
      </c>
      <c r="C744" s="4"/>
      <c r="D744" s="9">
        <v>52</v>
      </c>
      <c r="E744" s="10" t="s">
        <v>784</v>
      </c>
      <c r="F744" s="4">
        <v>2</v>
      </c>
      <c r="G744" s="4" t="s">
        <v>1732</v>
      </c>
      <c r="H744" s="4" t="s">
        <v>1733</v>
      </c>
    </row>
    <row r="745" spans="1:8" ht="15.5" x14ac:dyDescent="0.35">
      <c r="A745" s="4" t="s">
        <v>1731</v>
      </c>
      <c r="B745" s="4">
        <v>1972</v>
      </c>
      <c r="C745" s="4"/>
      <c r="D745" s="9">
        <v>48</v>
      </c>
      <c r="E745" s="10" t="s">
        <v>784</v>
      </c>
      <c r="F745" s="4">
        <v>9</v>
      </c>
      <c r="G745" s="4" t="s">
        <v>1734</v>
      </c>
      <c r="H745" s="4" t="s">
        <v>1735</v>
      </c>
    </row>
    <row r="746" spans="1:8" ht="15.5" x14ac:dyDescent="0.35">
      <c r="A746" s="4" t="s">
        <v>1731</v>
      </c>
      <c r="B746" s="4">
        <v>1975</v>
      </c>
      <c r="C746" s="4"/>
      <c r="D746" s="9">
        <v>32</v>
      </c>
      <c r="E746" s="10" t="s">
        <v>1736</v>
      </c>
      <c r="F746" s="4">
        <v>10</v>
      </c>
      <c r="G746" s="4" t="s">
        <v>1737</v>
      </c>
      <c r="H746" s="4" t="s">
        <v>1738</v>
      </c>
    </row>
    <row r="747" spans="1:8" ht="15.5" x14ac:dyDescent="0.35">
      <c r="A747" s="4" t="s">
        <v>1731</v>
      </c>
      <c r="B747" s="4">
        <v>1991</v>
      </c>
      <c r="C747" s="4"/>
      <c r="D747" s="9">
        <v>106</v>
      </c>
      <c r="E747" s="10" t="s">
        <v>1739</v>
      </c>
      <c r="F747" s="4">
        <v>3</v>
      </c>
      <c r="G747" s="4" t="s">
        <v>1740</v>
      </c>
      <c r="H747" s="4" t="s">
        <v>1741</v>
      </c>
    </row>
    <row r="748" spans="1:8" ht="15.5" x14ac:dyDescent="0.35">
      <c r="A748" s="4" t="s">
        <v>1731</v>
      </c>
      <c r="B748" s="4">
        <v>1992</v>
      </c>
      <c r="C748" s="4"/>
      <c r="D748" s="9">
        <v>123</v>
      </c>
      <c r="E748" s="10" t="s">
        <v>1093</v>
      </c>
      <c r="F748" s="4">
        <v>10</v>
      </c>
      <c r="G748" s="4" t="s">
        <v>1742</v>
      </c>
      <c r="H748" s="4" t="s">
        <v>1743</v>
      </c>
    </row>
    <row r="749" spans="1:8" ht="15.5" x14ac:dyDescent="0.35">
      <c r="A749" s="4" t="s">
        <v>1731</v>
      </c>
      <c r="B749" s="4">
        <v>1993</v>
      </c>
      <c r="C749" s="4"/>
      <c r="D749" s="9">
        <v>69</v>
      </c>
      <c r="E749" s="10" t="s">
        <v>222</v>
      </c>
      <c r="F749" s="4">
        <v>8</v>
      </c>
      <c r="G749" s="4" t="s">
        <v>1744</v>
      </c>
      <c r="H749" s="4" t="s">
        <v>1629</v>
      </c>
    </row>
    <row r="750" spans="1:8" ht="15.5" x14ac:dyDescent="0.35">
      <c r="A750" s="4" t="s">
        <v>1731</v>
      </c>
      <c r="B750" s="4">
        <v>1994</v>
      </c>
      <c r="C750" s="4"/>
      <c r="D750" s="9">
        <v>97</v>
      </c>
      <c r="E750" s="10" t="s">
        <v>228</v>
      </c>
      <c r="F750" s="4">
        <v>12</v>
      </c>
      <c r="G750" s="4" t="s">
        <v>1745</v>
      </c>
      <c r="H750" s="4" t="s">
        <v>1746</v>
      </c>
    </row>
    <row r="751" spans="1:8" ht="15.5" x14ac:dyDescent="0.35">
      <c r="A751" s="4" t="s">
        <v>1731</v>
      </c>
      <c r="B751" s="4">
        <v>1995</v>
      </c>
      <c r="C751" s="4"/>
      <c r="D751" s="9">
        <v>76</v>
      </c>
      <c r="E751" s="10" t="s">
        <v>174</v>
      </c>
      <c r="F751" s="4">
        <v>22</v>
      </c>
      <c r="G751" s="4" t="s">
        <v>1747</v>
      </c>
      <c r="H751" s="4" t="s">
        <v>1748</v>
      </c>
    </row>
    <row r="752" spans="1:8" ht="15.5" x14ac:dyDescent="0.35">
      <c r="A752" s="4" t="s">
        <v>1731</v>
      </c>
      <c r="B752" s="4">
        <v>1996</v>
      </c>
      <c r="C752" s="4"/>
      <c r="D752" s="9">
        <v>68</v>
      </c>
      <c r="E752" s="10" t="s">
        <v>174</v>
      </c>
      <c r="F752" s="4">
        <v>6</v>
      </c>
      <c r="G752" s="4" t="s">
        <v>1749</v>
      </c>
      <c r="H752" s="4" t="s">
        <v>1750</v>
      </c>
    </row>
    <row r="753" spans="1:8" ht="15.5" x14ac:dyDescent="0.35">
      <c r="A753" s="4" t="s">
        <v>1731</v>
      </c>
      <c r="B753" s="4">
        <v>1997</v>
      </c>
      <c r="C753" s="4"/>
      <c r="D753" s="9">
        <v>66</v>
      </c>
      <c r="E753" s="10" t="s">
        <v>444</v>
      </c>
      <c r="F753" s="4">
        <v>18</v>
      </c>
      <c r="G753" s="4" t="s">
        <v>1751</v>
      </c>
      <c r="H753" s="4" t="s">
        <v>1752</v>
      </c>
    </row>
    <row r="754" spans="1:8" ht="15.5" x14ac:dyDescent="0.35">
      <c r="A754" s="4" t="s">
        <v>1731</v>
      </c>
      <c r="B754" s="4">
        <v>1998</v>
      </c>
      <c r="C754" s="4"/>
      <c r="D754" s="9">
        <v>165</v>
      </c>
      <c r="E754" s="10" t="s">
        <v>225</v>
      </c>
      <c r="F754" s="4">
        <v>10</v>
      </c>
      <c r="G754" s="4" t="s">
        <v>1753</v>
      </c>
      <c r="H754" s="4" t="s">
        <v>1754</v>
      </c>
    </row>
    <row r="755" spans="1:8" ht="15.5" x14ac:dyDescent="0.35">
      <c r="A755" s="4" t="s">
        <v>1731</v>
      </c>
      <c r="B755" s="4">
        <v>1999</v>
      </c>
      <c r="C755" s="4"/>
      <c r="D755" s="9">
        <v>32</v>
      </c>
      <c r="E755" s="10" t="s">
        <v>1276</v>
      </c>
      <c r="F755" s="4">
        <v>20</v>
      </c>
      <c r="G755" s="4" t="s">
        <v>1755</v>
      </c>
      <c r="H755" s="4" t="s">
        <v>1756</v>
      </c>
    </row>
    <row r="756" spans="1:8" ht="15.5" x14ac:dyDescent="0.35">
      <c r="A756" s="4" t="s">
        <v>1731</v>
      </c>
      <c r="B756" s="4">
        <v>2000</v>
      </c>
      <c r="C756" s="4"/>
      <c r="D756" s="9">
        <v>73</v>
      </c>
      <c r="E756" s="10" t="s">
        <v>40</v>
      </c>
      <c r="F756" s="4">
        <v>7</v>
      </c>
      <c r="G756" s="4" t="s">
        <v>1757</v>
      </c>
      <c r="H756" s="4" t="s">
        <v>1758</v>
      </c>
    </row>
    <row r="757" spans="1:8" ht="15.5" x14ac:dyDescent="0.35">
      <c r="A757" s="4" t="s">
        <v>1731</v>
      </c>
      <c r="B757" s="4">
        <v>2001</v>
      </c>
      <c r="C757" s="4"/>
      <c r="D757" s="9">
        <v>48</v>
      </c>
      <c r="E757" s="10" t="s">
        <v>542</v>
      </c>
      <c r="F757" s="4">
        <v>21</v>
      </c>
      <c r="G757" s="4" t="s">
        <v>1759</v>
      </c>
      <c r="H757" s="4" t="s">
        <v>1760</v>
      </c>
    </row>
    <row r="758" spans="1:8" ht="15.5" x14ac:dyDescent="0.35">
      <c r="A758" s="4" t="s">
        <v>1731</v>
      </c>
      <c r="B758" s="4">
        <v>2002</v>
      </c>
      <c r="C758" s="4"/>
      <c r="D758" s="9">
        <v>164</v>
      </c>
      <c r="E758" s="10" t="s">
        <v>1761</v>
      </c>
      <c r="F758" s="4">
        <v>20</v>
      </c>
      <c r="G758" s="4" t="s">
        <v>1762</v>
      </c>
      <c r="H758" s="4" t="s">
        <v>1763</v>
      </c>
    </row>
    <row r="759" spans="1:8" ht="15.5" x14ac:dyDescent="0.35">
      <c r="A759" s="4" t="s">
        <v>1731</v>
      </c>
      <c r="B759" s="4">
        <v>2003</v>
      </c>
      <c r="C759" s="4"/>
      <c r="D759" s="9">
        <v>4</v>
      </c>
      <c r="E759" s="10" t="s">
        <v>581</v>
      </c>
      <c r="F759" s="4">
        <v>5</v>
      </c>
      <c r="G759" s="4" t="s">
        <v>1764</v>
      </c>
      <c r="H759" s="4" t="s">
        <v>1765</v>
      </c>
    </row>
    <row r="760" spans="1:8" ht="15.5" x14ac:dyDescent="0.35">
      <c r="A760" s="4" t="s">
        <v>1731</v>
      </c>
      <c r="B760" s="4">
        <v>2004</v>
      </c>
      <c r="C760" s="4" t="s">
        <v>9</v>
      </c>
      <c r="D760" s="9">
        <v>50</v>
      </c>
      <c r="E760" s="10" t="s">
        <v>491</v>
      </c>
      <c r="F760" s="4">
        <v>6</v>
      </c>
      <c r="G760" s="4" t="s">
        <v>1766</v>
      </c>
      <c r="H760" s="4" t="s">
        <v>1767</v>
      </c>
    </row>
    <row r="761" spans="1:8" ht="15.5" x14ac:dyDescent="0.35">
      <c r="A761" s="4" t="s">
        <v>1731</v>
      </c>
      <c r="B761" s="4">
        <v>2005</v>
      </c>
      <c r="C761" s="4" t="s">
        <v>9</v>
      </c>
      <c r="D761" s="9">
        <v>192</v>
      </c>
      <c r="E761" s="10" t="s">
        <v>1761</v>
      </c>
      <c r="F761" s="4">
        <v>3</v>
      </c>
      <c r="G761" s="4" t="s">
        <v>1753</v>
      </c>
      <c r="H761" s="4" t="s">
        <v>1288</v>
      </c>
    </row>
    <row r="762" spans="1:8" ht="15.5" x14ac:dyDescent="0.35">
      <c r="A762" s="4" t="s">
        <v>1731</v>
      </c>
      <c r="B762" s="4">
        <v>2006</v>
      </c>
      <c r="C762" s="4" t="s">
        <v>9</v>
      </c>
      <c r="D762" s="9">
        <v>1</v>
      </c>
      <c r="E762" s="10" t="s">
        <v>378</v>
      </c>
      <c r="F762" s="4">
        <v>7</v>
      </c>
      <c r="G762" s="4" t="s">
        <v>1759</v>
      </c>
      <c r="H762" s="4" t="s">
        <v>1768</v>
      </c>
    </row>
    <row r="763" spans="1:8" ht="15.5" x14ac:dyDescent="0.35">
      <c r="A763" s="4" t="s">
        <v>1731</v>
      </c>
      <c r="B763" s="4">
        <v>2009</v>
      </c>
      <c r="C763" s="4" t="s">
        <v>9</v>
      </c>
      <c r="D763" s="9">
        <v>31</v>
      </c>
      <c r="E763" s="10" t="s">
        <v>588</v>
      </c>
      <c r="F763" s="4">
        <v>14</v>
      </c>
      <c r="G763" s="4" t="s">
        <v>1753</v>
      </c>
      <c r="H763" s="4" t="s">
        <v>1769</v>
      </c>
    </row>
    <row r="764" spans="1:8" ht="15.5" x14ac:dyDescent="0.35">
      <c r="A764" s="4" t="s">
        <v>1731</v>
      </c>
      <c r="B764" s="4">
        <v>2012</v>
      </c>
      <c r="C764" s="4" t="s">
        <v>9</v>
      </c>
      <c r="D764" s="9">
        <v>41</v>
      </c>
      <c r="E764" s="10" t="s">
        <v>36</v>
      </c>
      <c r="F764" s="4">
        <v>21</v>
      </c>
      <c r="G764" s="4" t="s">
        <v>1770</v>
      </c>
      <c r="H764" s="4" t="s">
        <v>1771</v>
      </c>
    </row>
    <row r="765" spans="1:8" ht="15.5" x14ac:dyDescent="0.35">
      <c r="A765" s="4" t="s">
        <v>1731</v>
      </c>
      <c r="B765" s="4">
        <v>2013</v>
      </c>
      <c r="C765" s="4" t="s">
        <v>9</v>
      </c>
      <c r="D765" s="9">
        <v>120</v>
      </c>
      <c r="E765" s="10" t="s">
        <v>249</v>
      </c>
      <c r="F765" s="4">
        <v>9</v>
      </c>
      <c r="G765" s="4" t="s">
        <v>1772</v>
      </c>
      <c r="H765" s="4" t="s">
        <v>1773</v>
      </c>
    </row>
    <row r="766" spans="1:8" ht="15.5" x14ac:dyDescent="0.35">
      <c r="A766" s="4" t="s">
        <v>1731</v>
      </c>
      <c r="B766" s="4">
        <v>2014</v>
      </c>
      <c r="C766" s="4" t="s">
        <v>9</v>
      </c>
      <c r="D766" s="9">
        <v>32</v>
      </c>
      <c r="E766" s="10" t="s">
        <v>502</v>
      </c>
      <c r="F766" s="4">
        <v>22</v>
      </c>
      <c r="G766" s="4" t="s">
        <v>1774</v>
      </c>
      <c r="H766" s="4" t="s">
        <v>1301</v>
      </c>
    </row>
    <row r="767" spans="1:8" ht="15.5" x14ac:dyDescent="0.35">
      <c r="A767" s="4" t="s">
        <v>1731</v>
      </c>
      <c r="B767" s="4">
        <v>2016</v>
      </c>
      <c r="C767" s="4" t="s">
        <v>9</v>
      </c>
      <c r="D767" s="9">
        <v>153</v>
      </c>
      <c r="E767" s="10" t="s">
        <v>391</v>
      </c>
      <c r="F767" s="4">
        <v>22</v>
      </c>
      <c r="G767" s="4" t="s">
        <v>1762</v>
      </c>
      <c r="H767" s="4" t="s">
        <v>1775</v>
      </c>
    </row>
    <row r="768" spans="1:8" ht="15.5" x14ac:dyDescent="0.35">
      <c r="A768" s="4" t="s">
        <v>1731</v>
      </c>
      <c r="B768" s="4">
        <v>2019</v>
      </c>
      <c r="C768" s="4" t="s">
        <v>9</v>
      </c>
      <c r="D768" s="9">
        <v>107</v>
      </c>
      <c r="E768" s="10" t="s">
        <v>246</v>
      </c>
      <c r="F768" s="4">
        <v>1</v>
      </c>
      <c r="G768" s="4" t="s">
        <v>1776</v>
      </c>
      <c r="H768" s="4" t="s">
        <v>1777</v>
      </c>
    </row>
    <row r="769" spans="1:8" ht="15.5" x14ac:dyDescent="0.35">
      <c r="A769" s="4" t="s">
        <v>1731</v>
      </c>
      <c r="B769" s="4">
        <v>2021</v>
      </c>
      <c r="C769" s="4" t="s">
        <v>9</v>
      </c>
      <c r="D769" s="9">
        <v>255</v>
      </c>
      <c r="E769" s="10" t="s">
        <v>63</v>
      </c>
      <c r="F769" s="4">
        <v>6</v>
      </c>
      <c r="G769" s="4" t="s">
        <v>1778</v>
      </c>
      <c r="H769" s="4" t="s">
        <v>1779</v>
      </c>
    </row>
    <row r="770" spans="1:8" ht="15.5" x14ac:dyDescent="0.35">
      <c r="A770" s="4" t="s">
        <v>1780</v>
      </c>
      <c r="B770" s="4">
        <v>2005</v>
      </c>
      <c r="C770" s="4" t="s">
        <v>9</v>
      </c>
      <c r="D770" s="9">
        <v>148</v>
      </c>
      <c r="E770" s="10" t="s">
        <v>257</v>
      </c>
      <c r="F770" s="4">
        <v>7</v>
      </c>
      <c r="G770" s="4" t="s">
        <v>1781</v>
      </c>
      <c r="H770" s="4" t="s">
        <v>1782</v>
      </c>
    </row>
    <row r="771" spans="1:8" ht="15.5" x14ac:dyDescent="0.35">
      <c r="A771" s="4" t="s">
        <v>1780</v>
      </c>
      <c r="B771" s="4">
        <v>2006</v>
      </c>
      <c r="C771" s="4" t="s">
        <v>9</v>
      </c>
      <c r="D771" s="9">
        <v>22</v>
      </c>
      <c r="E771" s="10" t="s">
        <v>821</v>
      </c>
      <c r="F771" s="4">
        <v>2</v>
      </c>
      <c r="G771" s="4" t="s">
        <v>1783</v>
      </c>
      <c r="H771" s="4" t="s">
        <v>1784</v>
      </c>
    </row>
    <row r="772" spans="1:8" ht="15.5" x14ac:dyDescent="0.35">
      <c r="A772" s="4" t="s">
        <v>1780</v>
      </c>
      <c r="B772" s="4">
        <v>2007</v>
      </c>
      <c r="C772" s="4" t="s">
        <v>9</v>
      </c>
      <c r="D772" s="9">
        <v>109</v>
      </c>
      <c r="E772" s="10" t="s">
        <v>1399</v>
      </c>
      <c r="F772" s="4">
        <v>24</v>
      </c>
      <c r="G772" s="4" t="s">
        <v>1785</v>
      </c>
      <c r="H772" s="4" t="s">
        <v>1786</v>
      </c>
    </row>
    <row r="773" spans="1:8" ht="15.5" x14ac:dyDescent="0.35">
      <c r="A773" s="4" t="s">
        <v>1780</v>
      </c>
      <c r="B773" s="4">
        <v>2009</v>
      </c>
      <c r="C773" s="4" t="s">
        <v>9</v>
      </c>
      <c r="D773" s="9">
        <v>69</v>
      </c>
      <c r="E773" s="10" t="s">
        <v>177</v>
      </c>
      <c r="F773" s="4">
        <v>13</v>
      </c>
      <c r="G773" s="4" t="s">
        <v>1787</v>
      </c>
      <c r="H773" s="4" t="s">
        <v>1788</v>
      </c>
    </row>
    <row r="774" spans="1:8" ht="15.5" x14ac:dyDescent="0.35">
      <c r="A774" s="4" t="s">
        <v>1780</v>
      </c>
      <c r="B774" s="4">
        <v>2010</v>
      </c>
      <c r="C774" s="4" t="s">
        <v>9</v>
      </c>
      <c r="D774" s="9">
        <v>27</v>
      </c>
      <c r="E774" s="10" t="s">
        <v>588</v>
      </c>
      <c r="F774" s="4">
        <v>4</v>
      </c>
      <c r="G774" s="4" t="s">
        <v>1789</v>
      </c>
      <c r="H774" s="4" t="s">
        <v>1790</v>
      </c>
    </row>
    <row r="775" spans="1:8" ht="15.5" x14ac:dyDescent="0.35">
      <c r="A775" s="4" t="s">
        <v>1780</v>
      </c>
      <c r="B775" s="4">
        <v>2011</v>
      </c>
      <c r="C775" s="4" t="s">
        <v>9</v>
      </c>
      <c r="D775" s="9">
        <v>97</v>
      </c>
      <c r="E775" s="10" t="s">
        <v>704</v>
      </c>
      <c r="F775" s="4">
        <v>15</v>
      </c>
      <c r="G775" s="4" t="s">
        <v>1791</v>
      </c>
      <c r="H775" s="4" t="s">
        <v>1792</v>
      </c>
    </row>
    <row r="776" spans="1:8" ht="15.5" x14ac:dyDescent="0.35">
      <c r="A776" s="4" t="s">
        <v>1780</v>
      </c>
      <c r="B776" s="4">
        <v>2012</v>
      </c>
      <c r="C776" s="4" t="s">
        <v>9</v>
      </c>
      <c r="D776" s="9">
        <v>81</v>
      </c>
      <c r="E776" s="10" t="s">
        <v>30</v>
      </c>
      <c r="F776" s="4">
        <v>26</v>
      </c>
      <c r="G776" s="4" t="s">
        <v>1793</v>
      </c>
      <c r="H776" s="4" t="s">
        <v>1794</v>
      </c>
    </row>
    <row r="777" spans="1:8" ht="15.5" x14ac:dyDescent="0.35">
      <c r="A777" s="4" t="s">
        <v>1780</v>
      </c>
      <c r="B777" s="4">
        <v>2013</v>
      </c>
      <c r="C777" s="4" t="s">
        <v>9</v>
      </c>
      <c r="D777" s="9">
        <v>71</v>
      </c>
      <c r="E777" s="10" t="s">
        <v>30</v>
      </c>
      <c r="F777" s="4">
        <v>3</v>
      </c>
      <c r="G777" s="4" t="s">
        <v>1795</v>
      </c>
      <c r="H777" s="4" t="s">
        <v>1796</v>
      </c>
    </row>
    <row r="778" spans="1:8" ht="15.5" x14ac:dyDescent="0.35">
      <c r="A778" s="4" t="s">
        <v>1780</v>
      </c>
      <c r="B778" s="4">
        <v>2017</v>
      </c>
      <c r="C778" s="4" t="s">
        <v>9</v>
      </c>
      <c r="D778" s="9">
        <v>374</v>
      </c>
      <c r="E778" s="10" t="s">
        <v>218</v>
      </c>
      <c r="F778" s="4">
        <v>7</v>
      </c>
      <c r="G778" s="4" t="s">
        <v>1797</v>
      </c>
      <c r="H778" s="4" t="s">
        <v>1798</v>
      </c>
    </row>
    <row r="779" spans="1:8" ht="15.5" x14ac:dyDescent="0.35">
      <c r="A779" s="4" t="s">
        <v>1780</v>
      </c>
      <c r="B779" s="4">
        <v>2018</v>
      </c>
      <c r="C779" s="4" t="s">
        <v>9</v>
      </c>
      <c r="D779" s="9">
        <v>209</v>
      </c>
      <c r="E779" s="10" t="s">
        <v>397</v>
      </c>
      <c r="F779" s="4">
        <v>19</v>
      </c>
      <c r="G779" s="4" t="s">
        <v>1799</v>
      </c>
      <c r="H779" s="4" t="s">
        <v>1800</v>
      </c>
    </row>
    <row r="780" spans="1:8" ht="15.5" x14ac:dyDescent="0.35">
      <c r="A780" s="4" t="s">
        <v>1780</v>
      </c>
      <c r="B780" s="4">
        <v>2021</v>
      </c>
      <c r="C780" s="4" t="s">
        <v>9</v>
      </c>
      <c r="D780" s="9">
        <v>115</v>
      </c>
      <c r="E780" s="10" t="s">
        <v>212</v>
      </c>
      <c r="F780" s="4">
        <v>14</v>
      </c>
      <c r="G780" s="4" t="s">
        <v>1801</v>
      </c>
      <c r="H780" s="4" t="s">
        <v>1802</v>
      </c>
    </row>
    <row r="781" spans="1:8" ht="15.5" x14ac:dyDescent="0.35">
      <c r="A781" s="4" t="s">
        <v>1780</v>
      </c>
      <c r="B781" s="4">
        <v>2022</v>
      </c>
      <c r="C781" s="4" t="s">
        <v>9</v>
      </c>
      <c r="D781" s="9">
        <v>253</v>
      </c>
      <c r="E781" s="10" t="s">
        <v>51</v>
      </c>
      <c r="F781" s="4">
        <v>19</v>
      </c>
      <c r="G781" s="4" t="s">
        <v>1803</v>
      </c>
      <c r="H781" s="4" t="s">
        <v>1804</v>
      </c>
    </row>
    <row r="782" spans="1:8" ht="15.5" x14ac:dyDescent="0.35">
      <c r="A782" s="4" t="s">
        <v>1805</v>
      </c>
      <c r="B782" s="4">
        <v>1959</v>
      </c>
      <c r="C782" s="4"/>
      <c r="D782" s="9">
        <v>1</v>
      </c>
      <c r="E782" s="10" t="s">
        <v>1806</v>
      </c>
      <c r="F782" s="4">
        <v>4</v>
      </c>
      <c r="G782" s="4" t="s">
        <v>1807</v>
      </c>
      <c r="H782" s="4" t="s">
        <v>1808</v>
      </c>
    </row>
    <row r="783" spans="1:8" ht="15.5" x14ac:dyDescent="0.35">
      <c r="A783" s="4" t="s">
        <v>1805</v>
      </c>
      <c r="B783" s="4">
        <v>1960</v>
      </c>
      <c r="C783" s="4"/>
      <c r="D783" s="9">
        <v>15</v>
      </c>
      <c r="E783" s="10" t="s">
        <v>1809</v>
      </c>
      <c r="F783" s="4">
        <v>8</v>
      </c>
      <c r="G783" s="4" t="s">
        <v>1810</v>
      </c>
      <c r="H783" s="4" t="s">
        <v>1811</v>
      </c>
    </row>
    <row r="784" spans="1:8" ht="15.5" x14ac:dyDescent="0.35">
      <c r="A784" s="4" t="s">
        <v>1805</v>
      </c>
      <c r="B784" s="4">
        <v>1961</v>
      </c>
      <c r="C784" s="4"/>
      <c r="D784" s="9">
        <v>6</v>
      </c>
      <c r="E784" s="10" t="s">
        <v>285</v>
      </c>
      <c r="F784" s="4">
        <v>2</v>
      </c>
      <c r="G784" s="4" t="s">
        <v>1812</v>
      </c>
      <c r="H784" s="4" t="s">
        <v>1813</v>
      </c>
    </row>
    <row r="785" spans="1:8" ht="15.5" x14ac:dyDescent="0.35">
      <c r="A785" s="4" t="s">
        <v>1805</v>
      </c>
      <c r="B785" s="4">
        <v>1962</v>
      </c>
      <c r="C785" s="4"/>
      <c r="D785" s="9">
        <v>13</v>
      </c>
      <c r="E785" s="10" t="s">
        <v>1814</v>
      </c>
      <c r="F785" s="4">
        <v>16</v>
      </c>
      <c r="G785" s="4" t="s">
        <v>1810</v>
      </c>
      <c r="H785" s="4" t="s">
        <v>1815</v>
      </c>
    </row>
    <row r="786" spans="1:8" ht="15.5" x14ac:dyDescent="0.35">
      <c r="A786" s="4" t="s">
        <v>1805</v>
      </c>
      <c r="B786" s="4">
        <v>1963</v>
      </c>
      <c r="C786" s="4"/>
      <c r="D786" s="9">
        <v>25</v>
      </c>
      <c r="E786" s="10" t="s">
        <v>603</v>
      </c>
      <c r="F786" s="4">
        <v>15</v>
      </c>
      <c r="G786" s="4" t="s">
        <v>1816</v>
      </c>
      <c r="H786" s="4" t="s">
        <v>1817</v>
      </c>
    </row>
    <row r="787" spans="1:8" ht="15.5" x14ac:dyDescent="0.35">
      <c r="A787" s="4" t="s">
        <v>1805</v>
      </c>
      <c r="B787" s="4">
        <v>1964</v>
      </c>
      <c r="C787" s="4"/>
      <c r="D787" s="9">
        <v>15</v>
      </c>
      <c r="E787" s="10" t="s">
        <v>1504</v>
      </c>
      <c r="F787" s="4">
        <v>10</v>
      </c>
      <c r="G787" s="4" t="s">
        <v>1663</v>
      </c>
      <c r="H787" s="4" t="s">
        <v>1818</v>
      </c>
    </row>
    <row r="788" spans="1:8" ht="15.5" x14ac:dyDescent="0.35">
      <c r="A788" s="4" t="s">
        <v>1805</v>
      </c>
      <c r="B788" s="4">
        <v>1965</v>
      </c>
      <c r="C788" s="4"/>
      <c r="D788" s="9">
        <v>7</v>
      </c>
      <c r="E788" s="10" t="s">
        <v>147</v>
      </c>
      <c r="F788" s="4">
        <v>9</v>
      </c>
      <c r="G788" s="4" t="s">
        <v>1819</v>
      </c>
      <c r="H788" s="4" t="s">
        <v>1820</v>
      </c>
    </row>
    <row r="789" spans="1:8" ht="15.5" x14ac:dyDescent="0.35">
      <c r="A789" s="4" t="s">
        <v>1805</v>
      </c>
      <c r="B789" s="4">
        <v>1966</v>
      </c>
      <c r="C789" s="4"/>
      <c r="D789" s="9">
        <v>0</v>
      </c>
      <c r="E789" s="10" t="s">
        <v>132</v>
      </c>
      <c r="F789" s="4">
        <v>13</v>
      </c>
      <c r="G789" s="4" t="s">
        <v>1821</v>
      </c>
      <c r="H789" s="4" t="s">
        <v>1822</v>
      </c>
    </row>
    <row r="790" spans="1:8" ht="15.5" x14ac:dyDescent="0.35">
      <c r="A790" s="4" t="s">
        <v>1805</v>
      </c>
      <c r="B790" s="4">
        <v>1967</v>
      </c>
      <c r="C790" s="4"/>
      <c r="D790" s="9">
        <v>10</v>
      </c>
      <c r="E790" s="10" t="s">
        <v>1823</v>
      </c>
      <c r="F790" s="4">
        <v>14</v>
      </c>
      <c r="G790" s="4" t="s">
        <v>1824</v>
      </c>
      <c r="H790" s="4" t="s">
        <v>1825</v>
      </c>
    </row>
    <row r="791" spans="1:8" ht="15.5" x14ac:dyDescent="0.35">
      <c r="A791" s="4" t="s">
        <v>1805</v>
      </c>
      <c r="B791" s="4">
        <v>1968</v>
      </c>
      <c r="C791" s="4"/>
      <c r="D791" s="9">
        <v>8</v>
      </c>
      <c r="E791" s="10" t="s">
        <v>295</v>
      </c>
      <c r="F791" s="4">
        <v>7</v>
      </c>
      <c r="G791" s="4" t="s">
        <v>1826</v>
      </c>
      <c r="H791" s="4" t="s">
        <v>1827</v>
      </c>
    </row>
    <row r="792" spans="1:8" ht="15.5" x14ac:dyDescent="0.35">
      <c r="A792" s="4" t="s">
        <v>1805</v>
      </c>
      <c r="B792" s="4">
        <v>1969</v>
      </c>
      <c r="C792" s="4"/>
      <c r="D792" s="9">
        <v>11</v>
      </c>
      <c r="E792" s="10" t="s">
        <v>111</v>
      </c>
      <c r="F792" s="4">
        <v>4</v>
      </c>
      <c r="G792" s="4" t="s">
        <v>1828</v>
      </c>
      <c r="H792" s="4" t="s">
        <v>1829</v>
      </c>
    </row>
    <row r="793" spans="1:8" ht="15.5" x14ac:dyDescent="0.35">
      <c r="A793" s="4" t="s">
        <v>1805</v>
      </c>
      <c r="B793" s="4">
        <v>1970</v>
      </c>
      <c r="C793" s="4"/>
      <c r="D793" s="9">
        <v>5</v>
      </c>
      <c r="E793" s="10" t="s">
        <v>301</v>
      </c>
      <c r="F793" s="4">
        <v>10</v>
      </c>
      <c r="G793" s="4" t="s">
        <v>1830</v>
      </c>
      <c r="H793" s="4" t="s">
        <v>1831</v>
      </c>
    </row>
    <row r="794" spans="1:8" ht="15.5" x14ac:dyDescent="0.35">
      <c r="A794" s="4" t="s">
        <v>1805</v>
      </c>
      <c r="B794" s="4">
        <v>1971</v>
      </c>
      <c r="C794" s="4"/>
      <c r="D794" s="9">
        <v>128</v>
      </c>
      <c r="E794" s="10" t="s">
        <v>116</v>
      </c>
      <c r="F794" s="4">
        <v>3</v>
      </c>
      <c r="G794" s="4" t="s">
        <v>1832</v>
      </c>
      <c r="H794" s="4" t="s">
        <v>1833</v>
      </c>
    </row>
    <row r="795" spans="1:8" ht="15.5" x14ac:dyDescent="0.35">
      <c r="A795" s="4" t="s">
        <v>1805</v>
      </c>
      <c r="B795" s="4">
        <v>1972</v>
      </c>
      <c r="C795" s="4"/>
      <c r="D795" s="9">
        <v>65</v>
      </c>
      <c r="E795" s="10" t="s">
        <v>124</v>
      </c>
      <c r="F795" s="4">
        <v>15</v>
      </c>
      <c r="G795" s="4" t="s">
        <v>1834</v>
      </c>
      <c r="H795" s="4" t="s">
        <v>1835</v>
      </c>
    </row>
    <row r="796" spans="1:8" ht="15.5" x14ac:dyDescent="0.35">
      <c r="A796" s="4" t="s">
        <v>1805</v>
      </c>
      <c r="B796" s="4">
        <v>1973</v>
      </c>
      <c r="C796" s="4"/>
      <c r="D796" s="9">
        <v>85</v>
      </c>
      <c r="E796" s="10" t="s">
        <v>1030</v>
      </c>
      <c r="F796" s="4">
        <v>6</v>
      </c>
      <c r="G796" s="4" t="s">
        <v>1836</v>
      </c>
      <c r="H796" s="4" t="s">
        <v>1837</v>
      </c>
    </row>
    <row r="797" spans="1:8" ht="15.5" x14ac:dyDescent="0.35">
      <c r="A797" s="4" t="s">
        <v>1805</v>
      </c>
      <c r="B797" s="4">
        <v>1974</v>
      </c>
      <c r="C797" s="4"/>
      <c r="D797" s="9">
        <v>14</v>
      </c>
      <c r="E797" s="10" t="s">
        <v>1323</v>
      </c>
      <c r="F797" s="4">
        <v>10</v>
      </c>
      <c r="G797" s="4" t="s">
        <v>1663</v>
      </c>
      <c r="H797" s="4" t="s">
        <v>1838</v>
      </c>
    </row>
    <row r="798" spans="1:8" ht="15.5" x14ac:dyDescent="0.35">
      <c r="A798" s="4" t="s">
        <v>1805</v>
      </c>
      <c r="B798" s="4">
        <v>1975</v>
      </c>
      <c r="C798" s="4"/>
      <c r="D798" s="9">
        <v>22</v>
      </c>
      <c r="E798" s="10" t="s">
        <v>1065</v>
      </c>
      <c r="F798" s="4">
        <v>14</v>
      </c>
      <c r="G798" s="4" t="s">
        <v>1839</v>
      </c>
      <c r="H798" s="4" t="s">
        <v>1840</v>
      </c>
    </row>
    <row r="799" spans="1:8" ht="15.5" x14ac:dyDescent="0.35">
      <c r="A799" s="4" t="s">
        <v>1805</v>
      </c>
      <c r="B799" s="4">
        <v>1976</v>
      </c>
      <c r="C799" s="4"/>
      <c r="D799" s="9">
        <v>93</v>
      </c>
      <c r="E799" s="10" t="s">
        <v>867</v>
      </c>
      <c r="F799" s="4">
        <v>16</v>
      </c>
      <c r="G799" s="4" t="s">
        <v>1841</v>
      </c>
      <c r="H799" s="4" t="s">
        <v>1842</v>
      </c>
    </row>
    <row r="800" spans="1:8" ht="15.5" x14ac:dyDescent="0.35">
      <c r="A800" s="4" t="s">
        <v>1805</v>
      </c>
      <c r="B800" s="4">
        <v>1977</v>
      </c>
      <c r="C800" s="4"/>
      <c r="D800" s="9">
        <v>96</v>
      </c>
      <c r="E800" s="10" t="s">
        <v>114</v>
      </c>
      <c r="F800" s="4">
        <v>2</v>
      </c>
      <c r="G800" s="4" t="s">
        <v>1656</v>
      </c>
      <c r="H800" s="4" t="s">
        <v>1843</v>
      </c>
    </row>
    <row r="801" spans="1:8" ht="15.5" x14ac:dyDescent="0.35">
      <c r="A801" s="4" t="s">
        <v>1805</v>
      </c>
      <c r="B801" s="4">
        <v>1978</v>
      </c>
      <c r="C801" s="4"/>
      <c r="D801" s="9">
        <v>107</v>
      </c>
      <c r="E801" s="10" t="s">
        <v>1361</v>
      </c>
      <c r="F801" s="4">
        <v>14</v>
      </c>
      <c r="G801" s="4" t="s">
        <v>1844</v>
      </c>
      <c r="H801" s="4" t="s">
        <v>1845</v>
      </c>
    </row>
    <row r="802" spans="1:8" ht="15.5" x14ac:dyDescent="0.35">
      <c r="A802" s="4" t="s">
        <v>1805</v>
      </c>
      <c r="B802" s="4">
        <v>1979</v>
      </c>
      <c r="C802" s="4"/>
      <c r="D802" s="9">
        <v>12</v>
      </c>
      <c r="E802" s="10" t="s">
        <v>518</v>
      </c>
      <c r="F802" s="4">
        <v>6</v>
      </c>
      <c r="G802" s="4" t="s">
        <v>1846</v>
      </c>
      <c r="H802" s="4" t="s">
        <v>1847</v>
      </c>
    </row>
    <row r="803" spans="1:8" ht="15.5" x14ac:dyDescent="0.35">
      <c r="A803" s="4" t="s">
        <v>1848</v>
      </c>
      <c r="B803" s="4">
        <v>2014</v>
      </c>
      <c r="C803" s="4" t="s">
        <v>9</v>
      </c>
      <c r="D803" s="9">
        <v>37</v>
      </c>
      <c r="E803" s="10" t="s">
        <v>402</v>
      </c>
      <c r="F803" s="4">
        <v>8</v>
      </c>
      <c r="G803" s="4" t="s">
        <v>1849</v>
      </c>
      <c r="H803" s="4" t="s">
        <v>1850</v>
      </c>
    </row>
    <row r="804" spans="1:8" ht="15.5" x14ac:dyDescent="0.35">
      <c r="A804" s="4" t="s">
        <v>1848</v>
      </c>
      <c r="B804" s="4">
        <v>2015</v>
      </c>
      <c r="C804" s="4" t="s">
        <v>9</v>
      </c>
      <c r="D804" s="9">
        <v>44</v>
      </c>
      <c r="E804" s="10" t="s">
        <v>1851</v>
      </c>
      <c r="F804" s="4">
        <v>16</v>
      </c>
      <c r="G804" s="4" t="s">
        <v>1852</v>
      </c>
      <c r="H804" s="4" t="s">
        <v>1853</v>
      </c>
    </row>
    <row r="805" spans="1:8" ht="15.5" x14ac:dyDescent="0.35">
      <c r="A805" s="4" t="s">
        <v>1854</v>
      </c>
      <c r="B805" s="4">
        <v>1980</v>
      </c>
      <c r="C805" s="4"/>
      <c r="D805" s="9">
        <v>7</v>
      </c>
      <c r="E805" s="10" t="s">
        <v>138</v>
      </c>
      <c r="F805" s="4">
        <v>5</v>
      </c>
      <c r="G805" s="4" t="s">
        <v>1855</v>
      </c>
      <c r="H805" s="4" t="s">
        <v>1856</v>
      </c>
    </row>
    <row r="806" spans="1:8" ht="15.5" x14ac:dyDescent="0.35">
      <c r="A806" s="4" t="s">
        <v>1857</v>
      </c>
      <c r="B806" s="4">
        <v>1957</v>
      </c>
      <c r="C806" s="4"/>
      <c r="D806" s="9">
        <v>31</v>
      </c>
      <c r="E806" s="10" t="s">
        <v>849</v>
      </c>
      <c r="F806" s="4">
        <v>6</v>
      </c>
      <c r="G806" s="4" t="s">
        <v>1858</v>
      </c>
      <c r="H806" s="4" t="s">
        <v>1859</v>
      </c>
    </row>
    <row r="807" spans="1:8" ht="15.5" x14ac:dyDescent="0.35">
      <c r="A807" s="4" t="s">
        <v>1857</v>
      </c>
      <c r="B807" s="4">
        <v>1958</v>
      </c>
      <c r="C807" s="4"/>
      <c r="D807" s="9">
        <v>1</v>
      </c>
      <c r="E807" s="10" t="s">
        <v>1640</v>
      </c>
      <c r="F807" s="4">
        <v>2</v>
      </c>
      <c r="G807" s="4" t="s">
        <v>1858</v>
      </c>
      <c r="H807" s="4" t="s">
        <v>1860</v>
      </c>
    </row>
    <row r="808" spans="1:8" ht="15.5" x14ac:dyDescent="0.35">
      <c r="A808" s="4" t="s">
        <v>1857</v>
      </c>
      <c r="B808" s="4">
        <v>1959</v>
      </c>
      <c r="C808" s="4"/>
      <c r="D808" s="9">
        <v>21</v>
      </c>
      <c r="E808" s="10" t="s">
        <v>1861</v>
      </c>
      <c r="F808" s="4">
        <v>5</v>
      </c>
      <c r="G808" s="4" t="s">
        <v>1862</v>
      </c>
      <c r="H808" s="4" t="s">
        <v>1863</v>
      </c>
    </row>
    <row r="809" spans="1:8" ht="15.5" x14ac:dyDescent="0.35">
      <c r="A809" s="4" t="s">
        <v>1857</v>
      </c>
      <c r="B809" s="4">
        <v>1960</v>
      </c>
      <c r="C809" s="4"/>
      <c r="D809" s="9">
        <v>2</v>
      </c>
      <c r="E809" s="10" t="s">
        <v>1864</v>
      </c>
      <c r="F809" s="4">
        <v>10</v>
      </c>
      <c r="G809" s="4" t="s">
        <v>1865</v>
      </c>
      <c r="H809" s="4" t="s">
        <v>1866</v>
      </c>
    </row>
    <row r="810" spans="1:8" ht="15.5" x14ac:dyDescent="0.35">
      <c r="A810" s="4" t="s">
        <v>1857</v>
      </c>
      <c r="B810" s="4">
        <v>1961</v>
      </c>
      <c r="C810" s="4"/>
      <c r="D810" s="9">
        <v>6</v>
      </c>
      <c r="E810" s="10" t="s">
        <v>285</v>
      </c>
      <c r="F810" s="4">
        <v>6</v>
      </c>
      <c r="G810" s="4" t="s">
        <v>1867</v>
      </c>
      <c r="H810" s="4" t="s">
        <v>1868</v>
      </c>
    </row>
    <row r="811" spans="1:8" ht="15.5" x14ac:dyDescent="0.35">
      <c r="A811" s="4" t="s">
        <v>1857</v>
      </c>
      <c r="B811" s="4">
        <v>1962</v>
      </c>
      <c r="C811" s="4"/>
      <c r="D811" s="9">
        <v>0</v>
      </c>
      <c r="E811" s="10" t="s">
        <v>105</v>
      </c>
      <c r="F811" s="4">
        <v>8</v>
      </c>
      <c r="G811" s="4" t="s">
        <v>1869</v>
      </c>
      <c r="H811" s="4" t="s">
        <v>1870</v>
      </c>
    </row>
    <row r="812" spans="1:8" ht="15.5" x14ac:dyDescent="0.35">
      <c r="A812" s="4" t="s">
        <v>1857</v>
      </c>
      <c r="B812" s="4">
        <v>1963</v>
      </c>
      <c r="C812" s="4"/>
      <c r="D812" s="9">
        <v>0</v>
      </c>
      <c r="E812" s="10" t="s">
        <v>105</v>
      </c>
      <c r="F812" s="4">
        <v>2</v>
      </c>
      <c r="G812" s="4" t="s">
        <v>1871</v>
      </c>
      <c r="H812" s="4" t="s">
        <v>1872</v>
      </c>
    </row>
    <row r="813" spans="1:8" ht="15.5" x14ac:dyDescent="0.35">
      <c r="A813" s="4" t="s">
        <v>1857</v>
      </c>
      <c r="B813" s="4">
        <v>1964</v>
      </c>
      <c r="C813" s="4"/>
      <c r="D813" s="9">
        <v>2</v>
      </c>
      <c r="E813" s="10" t="s">
        <v>285</v>
      </c>
      <c r="F813" s="4">
        <v>2</v>
      </c>
      <c r="G813" s="4" t="s">
        <v>1873</v>
      </c>
      <c r="H813" s="4" t="s">
        <v>1874</v>
      </c>
    </row>
    <row r="814" spans="1:8" ht="15.5" x14ac:dyDescent="0.35">
      <c r="A814" s="4" t="s">
        <v>1857</v>
      </c>
      <c r="B814" s="4">
        <v>1965</v>
      </c>
      <c r="C814" s="4"/>
      <c r="D814" s="9">
        <v>5</v>
      </c>
      <c r="E814" s="10" t="s">
        <v>771</v>
      </c>
      <c r="F814" s="4">
        <v>1</v>
      </c>
      <c r="G814" s="4" t="s">
        <v>1875</v>
      </c>
      <c r="H814" s="4" t="s">
        <v>1876</v>
      </c>
    </row>
    <row r="815" spans="1:8" ht="15.5" x14ac:dyDescent="0.35">
      <c r="A815" s="4" t="s">
        <v>1857</v>
      </c>
      <c r="B815" s="4">
        <v>1966</v>
      </c>
      <c r="C815" s="4"/>
      <c r="D815" s="9">
        <v>2</v>
      </c>
      <c r="E815" s="10" t="s">
        <v>290</v>
      </c>
      <c r="F815" s="4">
        <v>16</v>
      </c>
      <c r="G815" s="4" t="s">
        <v>1877</v>
      </c>
      <c r="H815" s="4" t="s">
        <v>1878</v>
      </c>
    </row>
    <row r="816" spans="1:8" ht="15.5" x14ac:dyDescent="0.35">
      <c r="A816" s="4" t="s">
        <v>1857</v>
      </c>
      <c r="B816" s="4">
        <v>1967</v>
      </c>
      <c r="C816" s="4"/>
      <c r="D816" s="9">
        <v>2</v>
      </c>
      <c r="E816" s="10" t="s">
        <v>118</v>
      </c>
      <c r="F816" s="4">
        <v>1</v>
      </c>
      <c r="G816" s="4" t="s">
        <v>1879</v>
      </c>
      <c r="H816" s="4" t="s">
        <v>1880</v>
      </c>
    </row>
    <row r="817" spans="1:8" ht="15.5" x14ac:dyDescent="0.35">
      <c r="A817" s="4" t="s">
        <v>1857</v>
      </c>
      <c r="B817" s="4">
        <v>1968</v>
      </c>
      <c r="C817" s="4"/>
      <c r="D817" s="9">
        <v>1</v>
      </c>
      <c r="E817" s="10" t="s">
        <v>753</v>
      </c>
      <c r="F817" s="4">
        <v>2</v>
      </c>
      <c r="G817" s="4" t="s">
        <v>1881</v>
      </c>
      <c r="H817" s="4" t="s">
        <v>1882</v>
      </c>
    </row>
    <row r="818" spans="1:8" ht="15.5" x14ac:dyDescent="0.35">
      <c r="A818" s="4" t="s">
        <v>1857</v>
      </c>
      <c r="B818" s="4">
        <v>1969</v>
      </c>
      <c r="C818" s="4"/>
      <c r="D818" s="9">
        <v>18</v>
      </c>
      <c r="E818" s="10" t="s">
        <v>608</v>
      </c>
      <c r="F818" s="4">
        <v>8</v>
      </c>
      <c r="G818" s="4" t="s">
        <v>1883</v>
      </c>
      <c r="H818" s="4" t="s">
        <v>1884</v>
      </c>
    </row>
    <row r="819" spans="1:8" ht="15.5" x14ac:dyDescent="0.35">
      <c r="A819" s="4" t="s">
        <v>1857</v>
      </c>
      <c r="B819" s="4">
        <v>1970</v>
      </c>
      <c r="C819" s="4"/>
      <c r="D819" s="9">
        <v>7</v>
      </c>
      <c r="E819" s="10" t="s">
        <v>1885</v>
      </c>
      <c r="F819" s="4">
        <v>1</v>
      </c>
      <c r="G819" s="4" t="s">
        <v>1886</v>
      </c>
      <c r="H819" s="4" t="s">
        <v>1887</v>
      </c>
    </row>
    <row r="820" spans="1:8" ht="15.5" x14ac:dyDescent="0.35">
      <c r="A820" s="4" t="s">
        <v>1857</v>
      </c>
      <c r="B820" s="4">
        <v>1971</v>
      </c>
      <c r="C820" s="4"/>
      <c r="D820" s="9">
        <v>85</v>
      </c>
      <c r="E820" s="10" t="s">
        <v>1315</v>
      </c>
      <c r="F820" s="4">
        <v>14</v>
      </c>
      <c r="G820" s="4" t="s">
        <v>1888</v>
      </c>
      <c r="H820" s="4" t="s">
        <v>1889</v>
      </c>
    </row>
    <row r="821" spans="1:8" ht="15.5" x14ac:dyDescent="0.35">
      <c r="A821" s="4" t="s">
        <v>1857</v>
      </c>
      <c r="B821" s="4">
        <v>1972</v>
      </c>
      <c r="C821" s="4"/>
      <c r="D821" s="9">
        <v>106</v>
      </c>
      <c r="E821" s="10" t="s">
        <v>114</v>
      </c>
      <c r="F821" s="4">
        <v>18</v>
      </c>
      <c r="G821" s="4" t="s">
        <v>1890</v>
      </c>
      <c r="H821" s="4" t="s">
        <v>1891</v>
      </c>
    </row>
    <row r="822" spans="1:8" ht="15.5" x14ac:dyDescent="0.35">
      <c r="A822" s="4" t="s">
        <v>1857</v>
      </c>
      <c r="B822" s="4">
        <v>1973</v>
      </c>
      <c r="C822" s="4"/>
      <c r="D822" s="9">
        <v>69</v>
      </c>
      <c r="E822" s="10" t="s">
        <v>118</v>
      </c>
      <c r="F822" s="4">
        <v>13</v>
      </c>
      <c r="G822" s="4" t="s">
        <v>1892</v>
      </c>
      <c r="H822" s="4" t="s">
        <v>1893</v>
      </c>
    </row>
    <row r="823" spans="1:8" ht="15.5" x14ac:dyDescent="0.35">
      <c r="A823" s="4" t="s">
        <v>1857</v>
      </c>
      <c r="B823" s="4">
        <v>1974</v>
      </c>
      <c r="C823" s="4"/>
      <c r="D823" s="9">
        <v>15</v>
      </c>
      <c r="E823" s="10" t="s">
        <v>872</v>
      </c>
      <c r="F823" s="4">
        <v>12</v>
      </c>
      <c r="G823" s="4" t="s">
        <v>1894</v>
      </c>
      <c r="H823" s="4" t="s">
        <v>1895</v>
      </c>
    </row>
    <row r="824" spans="1:8" ht="15.5" x14ac:dyDescent="0.35">
      <c r="A824" s="4" t="s">
        <v>1857</v>
      </c>
      <c r="B824" s="4">
        <v>1975</v>
      </c>
      <c r="C824" s="4"/>
      <c r="D824" s="9">
        <v>152</v>
      </c>
      <c r="E824" s="10" t="s">
        <v>1350</v>
      </c>
      <c r="F824" s="4">
        <v>1</v>
      </c>
      <c r="G824" s="4" t="s">
        <v>1896</v>
      </c>
      <c r="H824" s="4" t="s">
        <v>1897</v>
      </c>
    </row>
    <row r="825" spans="1:8" ht="15.5" x14ac:dyDescent="0.35">
      <c r="A825" s="4" t="s">
        <v>1857</v>
      </c>
      <c r="B825" s="4">
        <v>1976</v>
      </c>
      <c r="C825" s="4"/>
      <c r="D825" s="9">
        <v>56</v>
      </c>
      <c r="E825" s="10" t="s">
        <v>147</v>
      </c>
      <c r="F825" s="4">
        <v>8</v>
      </c>
      <c r="G825" s="4" t="s">
        <v>1898</v>
      </c>
      <c r="H825" s="4" t="s">
        <v>1899</v>
      </c>
    </row>
    <row r="826" spans="1:8" ht="15.5" x14ac:dyDescent="0.35">
      <c r="A826" s="4" t="s">
        <v>1857</v>
      </c>
      <c r="B826" s="4">
        <v>1977</v>
      </c>
      <c r="C826" s="4"/>
      <c r="D826" s="9">
        <v>35</v>
      </c>
      <c r="E826" s="10" t="s">
        <v>761</v>
      </c>
      <c r="F826" s="4">
        <v>3</v>
      </c>
      <c r="G826" s="4" t="s">
        <v>1900</v>
      </c>
      <c r="H826" s="4" t="s">
        <v>1901</v>
      </c>
    </row>
    <row r="827" spans="1:8" ht="15.5" x14ac:dyDescent="0.35">
      <c r="A827" s="4" t="s">
        <v>1857</v>
      </c>
      <c r="B827" s="4">
        <v>1978</v>
      </c>
      <c r="C827" s="4"/>
      <c r="D827" s="9">
        <v>37</v>
      </c>
      <c r="E827" s="10" t="s">
        <v>331</v>
      </c>
      <c r="F827" s="4">
        <v>11</v>
      </c>
      <c r="G827" s="4" t="s">
        <v>1902</v>
      </c>
      <c r="H827" s="4" t="s">
        <v>1903</v>
      </c>
    </row>
    <row r="828" spans="1:8" ht="15.5" x14ac:dyDescent="0.35">
      <c r="A828" s="4" t="s">
        <v>1857</v>
      </c>
      <c r="B828" s="4">
        <v>1979</v>
      </c>
      <c r="C828" s="4"/>
      <c r="D828" s="9">
        <v>51</v>
      </c>
      <c r="E828" s="10" t="s">
        <v>1736</v>
      </c>
      <c r="F828" s="4">
        <v>14</v>
      </c>
      <c r="G828" s="4" t="s">
        <v>1904</v>
      </c>
      <c r="H828" s="4" t="s">
        <v>1905</v>
      </c>
    </row>
    <row r="829" spans="1:8" ht="15.5" x14ac:dyDescent="0.35">
      <c r="A829" s="4" t="s">
        <v>1857</v>
      </c>
      <c r="B829" s="4">
        <v>1980</v>
      </c>
      <c r="C829" s="4"/>
      <c r="D829" s="9">
        <v>93</v>
      </c>
      <c r="E829" s="10" t="s">
        <v>338</v>
      </c>
      <c r="F829" s="4">
        <v>15</v>
      </c>
      <c r="G829" s="4" t="s">
        <v>1906</v>
      </c>
      <c r="H829" s="4" t="s">
        <v>1907</v>
      </c>
    </row>
    <row r="830" spans="1:8" ht="15.5" x14ac:dyDescent="0.35">
      <c r="A830" s="4" t="s">
        <v>1857</v>
      </c>
      <c r="B830" s="4">
        <v>1981</v>
      </c>
      <c r="C830" s="4"/>
      <c r="D830" s="9">
        <v>51</v>
      </c>
      <c r="E830" s="10" t="s">
        <v>150</v>
      </c>
      <c r="F830" s="4">
        <v>11</v>
      </c>
      <c r="G830" s="4" t="s">
        <v>1908</v>
      </c>
      <c r="H830" s="4" t="s">
        <v>1909</v>
      </c>
    </row>
    <row r="831" spans="1:8" ht="15.5" x14ac:dyDescent="0.35">
      <c r="A831" s="4" t="s">
        <v>1857</v>
      </c>
      <c r="B831" s="4">
        <v>1982</v>
      </c>
      <c r="C831" s="4"/>
      <c r="D831" s="9">
        <v>8</v>
      </c>
      <c r="E831" s="10" t="s">
        <v>124</v>
      </c>
      <c r="F831" s="4">
        <v>16</v>
      </c>
      <c r="G831" s="4" t="s">
        <v>1910</v>
      </c>
      <c r="H831" s="4" t="s">
        <v>1911</v>
      </c>
    </row>
    <row r="832" spans="1:8" ht="15.5" x14ac:dyDescent="0.35">
      <c r="A832" s="4" t="s">
        <v>1857</v>
      </c>
      <c r="B832" s="4">
        <v>1983</v>
      </c>
      <c r="C832" s="4"/>
      <c r="D832" s="9">
        <v>66</v>
      </c>
      <c r="E832" s="10" t="s">
        <v>1426</v>
      </c>
      <c r="F832" s="4">
        <v>11</v>
      </c>
      <c r="G832" s="4" t="s">
        <v>1912</v>
      </c>
      <c r="H832" s="4" t="s">
        <v>1913</v>
      </c>
    </row>
    <row r="833" spans="1:8" ht="15.5" x14ac:dyDescent="0.35">
      <c r="A833" s="4" t="s">
        <v>1857</v>
      </c>
      <c r="B833" s="4">
        <v>1984</v>
      </c>
      <c r="C833" s="4"/>
      <c r="D833" s="9">
        <v>34</v>
      </c>
      <c r="E833" s="10" t="s">
        <v>1065</v>
      </c>
      <c r="F833" s="4">
        <v>11</v>
      </c>
      <c r="G833" s="4" t="s">
        <v>1914</v>
      </c>
      <c r="H833" s="4" t="s">
        <v>1915</v>
      </c>
    </row>
    <row r="834" spans="1:8" ht="15.5" x14ac:dyDescent="0.35">
      <c r="A834" s="4" t="s">
        <v>1857</v>
      </c>
      <c r="B834" s="4">
        <v>1986</v>
      </c>
      <c r="C834" s="4"/>
      <c r="D834" s="9">
        <v>40</v>
      </c>
      <c r="E834" s="10" t="s">
        <v>331</v>
      </c>
      <c r="F834" s="4">
        <v>7</v>
      </c>
      <c r="G834" s="4" t="s">
        <v>1916</v>
      </c>
      <c r="H834" s="4" t="s">
        <v>1917</v>
      </c>
    </row>
    <row r="835" spans="1:8" ht="15.5" x14ac:dyDescent="0.35">
      <c r="A835" s="4" t="s">
        <v>1857</v>
      </c>
      <c r="B835" s="4">
        <v>1987</v>
      </c>
      <c r="C835" s="4"/>
      <c r="D835" s="9">
        <v>83</v>
      </c>
      <c r="E835" s="10" t="s">
        <v>166</v>
      </c>
      <c r="F835" s="4">
        <v>12</v>
      </c>
      <c r="G835" s="4" t="s">
        <v>1918</v>
      </c>
      <c r="H835" s="4" t="s">
        <v>1919</v>
      </c>
    </row>
    <row r="836" spans="1:8" ht="15.5" x14ac:dyDescent="0.35">
      <c r="A836" s="4" t="s">
        <v>1857</v>
      </c>
      <c r="B836" s="4">
        <v>1988</v>
      </c>
      <c r="C836" s="4"/>
      <c r="D836" s="9">
        <v>70</v>
      </c>
      <c r="E836" s="10" t="s">
        <v>1920</v>
      </c>
      <c r="F836" s="4">
        <v>7</v>
      </c>
      <c r="G836" s="4" t="s">
        <v>1921</v>
      </c>
      <c r="H836" s="4" t="s">
        <v>1922</v>
      </c>
    </row>
    <row r="837" spans="1:8" ht="15.5" x14ac:dyDescent="0.35">
      <c r="A837" s="4" t="s">
        <v>1857</v>
      </c>
      <c r="B837" s="4">
        <v>1989</v>
      </c>
      <c r="C837" s="4"/>
      <c r="D837" s="9">
        <v>45</v>
      </c>
      <c r="E837" s="10" t="s">
        <v>796</v>
      </c>
      <c r="F837" s="4">
        <v>4</v>
      </c>
      <c r="G837" s="4" t="s">
        <v>1923</v>
      </c>
      <c r="H837" s="4" t="s">
        <v>1924</v>
      </c>
    </row>
    <row r="838" spans="1:8" ht="15.5" x14ac:dyDescent="0.35">
      <c r="A838" s="4" t="s">
        <v>1857</v>
      </c>
      <c r="B838" s="4">
        <v>1990</v>
      </c>
      <c r="C838" s="4"/>
      <c r="D838" s="9">
        <v>25</v>
      </c>
      <c r="E838" s="10" t="s">
        <v>796</v>
      </c>
      <c r="F838" s="4">
        <v>5</v>
      </c>
      <c r="G838" s="4" t="s">
        <v>1925</v>
      </c>
      <c r="H838" s="4" t="s">
        <v>1926</v>
      </c>
    </row>
    <row r="839" spans="1:8" ht="15.5" x14ac:dyDescent="0.35">
      <c r="A839" s="4" t="s">
        <v>1857</v>
      </c>
      <c r="B839" s="4">
        <v>1992</v>
      </c>
      <c r="C839" s="4"/>
      <c r="D839" s="9">
        <v>67</v>
      </c>
      <c r="E839" s="10" t="s">
        <v>542</v>
      </c>
      <c r="F839" s="4">
        <v>23</v>
      </c>
      <c r="G839" s="4" t="s">
        <v>1927</v>
      </c>
      <c r="H839" s="4" t="s">
        <v>1928</v>
      </c>
    </row>
    <row r="840" spans="1:8" ht="15.5" x14ac:dyDescent="0.35">
      <c r="A840" s="4" t="s">
        <v>1857</v>
      </c>
      <c r="B840" s="4">
        <v>1993</v>
      </c>
      <c r="C840" s="4"/>
      <c r="D840" s="9">
        <v>92</v>
      </c>
      <c r="E840" s="10" t="s">
        <v>372</v>
      </c>
      <c r="F840" s="4">
        <v>20</v>
      </c>
      <c r="G840" s="4" t="s">
        <v>1929</v>
      </c>
      <c r="H840" s="4" t="s">
        <v>1930</v>
      </c>
    </row>
    <row r="841" spans="1:8" ht="15.5" x14ac:dyDescent="0.35">
      <c r="A841" s="4" t="s">
        <v>1857</v>
      </c>
      <c r="B841" s="4">
        <v>1994</v>
      </c>
      <c r="C841" s="4"/>
      <c r="D841" s="9">
        <v>4</v>
      </c>
      <c r="E841" s="10" t="s">
        <v>1113</v>
      </c>
      <c r="F841" s="4">
        <v>13</v>
      </c>
      <c r="G841" s="4" t="s">
        <v>1931</v>
      </c>
      <c r="H841" s="4" t="s">
        <v>1932</v>
      </c>
    </row>
    <row r="842" spans="1:8" ht="15.5" x14ac:dyDescent="0.35">
      <c r="A842" s="4" t="s">
        <v>1857</v>
      </c>
      <c r="B842" s="4">
        <v>1996</v>
      </c>
      <c r="C842" s="4"/>
      <c r="D842" s="9">
        <v>78</v>
      </c>
      <c r="E842" s="10" t="s">
        <v>421</v>
      </c>
      <c r="F842" s="4">
        <v>15</v>
      </c>
      <c r="G842" s="4" t="s">
        <v>1933</v>
      </c>
      <c r="H842" s="4" t="s">
        <v>1934</v>
      </c>
    </row>
    <row r="843" spans="1:8" ht="15.5" x14ac:dyDescent="0.35">
      <c r="A843" s="4" t="s">
        <v>1857</v>
      </c>
      <c r="B843" s="4">
        <v>1997</v>
      </c>
      <c r="C843" s="4"/>
      <c r="D843" s="9">
        <v>5</v>
      </c>
      <c r="E843" s="10" t="s">
        <v>588</v>
      </c>
      <c r="F843" s="4">
        <v>8</v>
      </c>
      <c r="G843" s="4" t="s">
        <v>1935</v>
      </c>
      <c r="H843" s="4" t="s">
        <v>1936</v>
      </c>
    </row>
    <row r="844" spans="1:8" ht="15.5" x14ac:dyDescent="0.35">
      <c r="A844" s="4" t="s">
        <v>1857</v>
      </c>
      <c r="B844" s="4">
        <v>1998</v>
      </c>
      <c r="C844" s="4"/>
      <c r="D844" s="9">
        <v>150</v>
      </c>
      <c r="E844" s="10" t="s">
        <v>45</v>
      </c>
      <c r="F844" s="4">
        <v>18</v>
      </c>
      <c r="G844" s="4" t="s">
        <v>1937</v>
      </c>
      <c r="H844" s="4" t="s">
        <v>1938</v>
      </c>
    </row>
    <row r="845" spans="1:8" ht="15.5" x14ac:dyDescent="0.35">
      <c r="A845" s="4" t="s">
        <v>1857</v>
      </c>
      <c r="B845" s="4">
        <v>1999</v>
      </c>
      <c r="C845" s="4"/>
      <c r="D845" s="9">
        <v>71</v>
      </c>
      <c r="E845" s="10" t="s">
        <v>661</v>
      </c>
      <c r="F845" s="4">
        <v>11</v>
      </c>
      <c r="G845" s="4" t="s">
        <v>1939</v>
      </c>
      <c r="H845" s="4" t="s">
        <v>1940</v>
      </c>
    </row>
    <row r="846" spans="1:8" ht="15.5" x14ac:dyDescent="0.35">
      <c r="A846" s="4" t="s">
        <v>1857</v>
      </c>
      <c r="B846" s="4">
        <v>2000</v>
      </c>
      <c r="C846" s="4"/>
      <c r="D846" s="9">
        <v>40</v>
      </c>
      <c r="E846" s="10" t="s">
        <v>381</v>
      </c>
      <c r="F846" s="4">
        <v>2</v>
      </c>
      <c r="G846" s="4" t="s">
        <v>1941</v>
      </c>
      <c r="H846" s="4" t="s">
        <v>1942</v>
      </c>
    </row>
    <row r="847" spans="1:8" ht="15.5" x14ac:dyDescent="0.35">
      <c r="A847" s="4" t="s">
        <v>1857</v>
      </c>
      <c r="B847" s="4">
        <v>2001</v>
      </c>
      <c r="C847" s="4"/>
      <c r="D847" s="9">
        <v>16</v>
      </c>
      <c r="E847" s="10" t="s">
        <v>1586</v>
      </c>
      <c r="F847" s="4">
        <v>1</v>
      </c>
      <c r="G847" s="4" t="s">
        <v>1098</v>
      </c>
      <c r="H847" s="4" t="s">
        <v>1943</v>
      </c>
    </row>
    <row r="848" spans="1:8" ht="15.5" x14ac:dyDescent="0.35">
      <c r="A848" s="4" t="s">
        <v>1857</v>
      </c>
      <c r="B848" s="4">
        <v>2003</v>
      </c>
      <c r="C848" s="4"/>
      <c r="D848" s="9">
        <v>45</v>
      </c>
      <c r="E848" s="10" t="s">
        <v>212</v>
      </c>
      <c r="F848" s="4">
        <v>14</v>
      </c>
      <c r="G848" s="4" t="s">
        <v>1944</v>
      </c>
      <c r="H848" s="4" t="s">
        <v>1945</v>
      </c>
    </row>
    <row r="849" spans="1:8" ht="15.5" x14ac:dyDescent="0.35">
      <c r="A849" s="4" t="s">
        <v>1857</v>
      </c>
      <c r="B849" s="4">
        <v>2004</v>
      </c>
      <c r="C849" s="4" t="s">
        <v>9</v>
      </c>
      <c r="D849" s="9">
        <v>11</v>
      </c>
      <c r="E849" s="10" t="s">
        <v>821</v>
      </c>
      <c r="F849" s="4">
        <v>7</v>
      </c>
      <c r="G849" s="4" t="s">
        <v>1946</v>
      </c>
      <c r="H849" s="4" t="s">
        <v>1947</v>
      </c>
    </row>
    <row r="850" spans="1:8" ht="15.5" x14ac:dyDescent="0.35">
      <c r="A850" s="4" t="s">
        <v>1857</v>
      </c>
      <c r="B850" s="4">
        <v>2013</v>
      </c>
      <c r="C850" s="4" t="s">
        <v>9</v>
      </c>
      <c r="D850" s="9">
        <v>114</v>
      </c>
      <c r="E850" s="10" t="s">
        <v>78</v>
      </c>
      <c r="F850" s="4">
        <v>13</v>
      </c>
      <c r="G850" s="4" t="s">
        <v>1948</v>
      </c>
      <c r="H850" s="4" t="s">
        <v>1949</v>
      </c>
    </row>
    <row r="851" spans="1:8" ht="15.5" x14ac:dyDescent="0.35">
      <c r="A851" s="4" t="s">
        <v>1857</v>
      </c>
      <c r="B851" s="4">
        <v>2014</v>
      </c>
      <c r="C851" s="4" t="s">
        <v>9</v>
      </c>
      <c r="D851" s="9">
        <v>238</v>
      </c>
      <c r="E851" s="10" t="s">
        <v>75</v>
      </c>
      <c r="F851" s="4">
        <v>24</v>
      </c>
      <c r="G851" s="4" t="s">
        <v>1950</v>
      </c>
      <c r="H851" s="4" t="s">
        <v>1951</v>
      </c>
    </row>
    <row r="852" spans="1:8" ht="15.5" x14ac:dyDescent="0.35">
      <c r="A852" s="4" t="s">
        <v>1857</v>
      </c>
      <c r="B852" s="4">
        <v>2016</v>
      </c>
      <c r="C852" s="4" t="s">
        <v>9</v>
      </c>
      <c r="D852" s="9">
        <v>153</v>
      </c>
      <c r="E852" s="10" t="s">
        <v>30</v>
      </c>
      <c r="F852" s="4">
        <v>3</v>
      </c>
      <c r="G852" s="4" t="s">
        <v>1952</v>
      </c>
      <c r="H852" s="4" t="s">
        <v>1953</v>
      </c>
    </row>
    <row r="853" spans="1:8" ht="15.5" x14ac:dyDescent="0.35">
      <c r="A853" s="4" t="s">
        <v>1857</v>
      </c>
      <c r="B853" s="4">
        <v>2017</v>
      </c>
      <c r="C853" s="4" t="s">
        <v>9</v>
      </c>
      <c r="D853" s="9">
        <v>150</v>
      </c>
      <c r="E853" s="10" t="s">
        <v>30</v>
      </c>
      <c r="F853" s="4">
        <v>6</v>
      </c>
      <c r="G853" s="4" t="s">
        <v>1954</v>
      </c>
      <c r="H853" s="4" t="s">
        <v>1955</v>
      </c>
    </row>
    <row r="854" spans="1:8" ht="15.5" x14ac:dyDescent="0.35">
      <c r="A854" s="4" t="s">
        <v>1857</v>
      </c>
      <c r="B854" s="4">
        <v>2018</v>
      </c>
      <c r="C854" s="4" t="s">
        <v>9</v>
      </c>
      <c r="D854" s="9">
        <v>121</v>
      </c>
      <c r="E854" s="10" t="s">
        <v>54</v>
      </c>
      <c r="F854" s="4">
        <v>23</v>
      </c>
      <c r="G854" s="4" t="s">
        <v>1956</v>
      </c>
      <c r="H854" s="4" t="s">
        <v>1957</v>
      </c>
    </row>
    <row r="855" spans="1:8" ht="15.5" x14ac:dyDescent="0.35">
      <c r="A855" s="4" t="s">
        <v>1857</v>
      </c>
      <c r="B855" s="4">
        <v>2019</v>
      </c>
      <c r="C855" s="4" t="s">
        <v>9</v>
      </c>
      <c r="D855" s="9">
        <v>498</v>
      </c>
      <c r="E855" s="10" t="s">
        <v>206</v>
      </c>
      <c r="F855" s="4">
        <v>12</v>
      </c>
      <c r="G855" s="4" t="s">
        <v>1958</v>
      </c>
      <c r="H855" s="4" t="s">
        <v>1959</v>
      </c>
    </row>
    <row r="856" spans="1:8" ht="15.5" x14ac:dyDescent="0.35">
      <c r="A856" s="4" t="s">
        <v>1857</v>
      </c>
      <c r="B856" s="4">
        <v>2021</v>
      </c>
      <c r="C856" s="4" t="s">
        <v>9</v>
      </c>
      <c r="D856" s="9">
        <v>11</v>
      </c>
      <c r="E856" s="10" t="s">
        <v>502</v>
      </c>
      <c r="F856" s="4">
        <v>23</v>
      </c>
      <c r="G856" s="4" t="s">
        <v>1960</v>
      </c>
      <c r="H856" s="4" t="s">
        <v>1961</v>
      </c>
    </row>
    <row r="857" spans="1:8" ht="15.5" x14ac:dyDescent="0.35">
      <c r="A857" s="4" t="s">
        <v>1857</v>
      </c>
      <c r="B857" s="4">
        <v>2022</v>
      </c>
      <c r="C857" s="4" t="s">
        <v>9</v>
      </c>
      <c r="D857" s="9">
        <v>171</v>
      </c>
      <c r="E857" s="10" t="s">
        <v>540</v>
      </c>
      <c r="F857" s="4">
        <v>11</v>
      </c>
      <c r="G857" s="4" t="s">
        <v>1962</v>
      </c>
      <c r="H857" s="4" t="s">
        <v>1963</v>
      </c>
    </row>
    <row r="858" spans="1:8" ht="15.5" x14ac:dyDescent="0.35">
      <c r="A858" s="4" t="s">
        <v>1964</v>
      </c>
      <c r="B858" s="4">
        <v>1960</v>
      </c>
      <c r="C858" s="4"/>
      <c r="D858" s="9">
        <v>11</v>
      </c>
      <c r="E858" s="10" t="s">
        <v>1015</v>
      </c>
      <c r="F858" s="4">
        <v>6</v>
      </c>
      <c r="G858" s="4" t="s">
        <v>1965</v>
      </c>
      <c r="H858" s="4" t="s">
        <v>1966</v>
      </c>
    </row>
    <row r="859" spans="1:8" ht="15.5" x14ac:dyDescent="0.35">
      <c r="A859" s="4" t="s">
        <v>1964</v>
      </c>
      <c r="B859" s="4">
        <v>1961</v>
      </c>
      <c r="C859" s="4"/>
      <c r="D859" s="9">
        <v>10</v>
      </c>
      <c r="E859" s="10" t="s">
        <v>108</v>
      </c>
      <c r="F859" s="4">
        <v>12</v>
      </c>
      <c r="G859" s="4" t="s">
        <v>1965</v>
      </c>
      <c r="H859" s="4" t="s">
        <v>1967</v>
      </c>
    </row>
    <row r="860" spans="1:8" ht="15.5" x14ac:dyDescent="0.35">
      <c r="A860" s="4" t="s">
        <v>1964</v>
      </c>
      <c r="B860" s="4">
        <v>1962</v>
      </c>
      <c r="C860" s="4"/>
      <c r="D860" s="9">
        <v>2</v>
      </c>
      <c r="E860" s="10" t="s">
        <v>285</v>
      </c>
      <c r="F860" s="4">
        <v>10</v>
      </c>
      <c r="G860" s="4" t="s">
        <v>1968</v>
      </c>
      <c r="H860" s="4" t="s">
        <v>1969</v>
      </c>
    </row>
    <row r="861" spans="1:8" ht="15.5" x14ac:dyDescent="0.35">
      <c r="A861" s="4" t="s">
        <v>1964</v>
      </c>
      <c r="B861" s="4">
        <v>1963</v>
      </c>
      <c r="C861" s="4"/>
      <c r="D861" s="9">
        <v>0</v>
      </c>
      <c r="E861" s="10" t="s">
        <v>105</v>
      </c>
      <c r="F861" s="4">
        <v>5</v>
      </c>
      <c r="G861" s="4" t="s">
        <v>1970</v>
      </c>
      <c r="H861" s="4" t="s">
        <v>1971</v>
      </c>
    </row>
    <row r="862" spans="1:8" ht="15.5" x14ac:dyDescent="0.35">
      <c r="A862" s="4" t="s">
        <v>1964</v>
      </c>
      <c r="B862" s="4">
        <v>1964</v>
      </c>
      <c r="C862" s="4"/>
      <c r="D862" s="9">
        <v>6</v>
      </c>
      <c r="E862" s="10" t="s">
        <v>1649</v>
      </c>
      <c r="F862" s="4">
        <v>3</v>
      </c>
      <c r="G862" s="4" t="s">
        <v>1972</v>
      </c>
      <c r="H862" s="4" t="s">
        <v>1973</v>
      </c>
    </row>
    <row r="863" spans="1:8" ht="15.5" x14ac:dyDescent="0.35">
      <c r="A863" s="4" t="s">
        <v>1964</v>
      </c>
      <c r="B863" s="4">
        <v>1965</v>
      </c>
      <c r="C863" s="4"/>
      <c r="D863" s="9">
        <v>1</v>
      </c>
      <c r="E863" s="10" t="s">
        <v>1145</v>
      </c>
      <c r="F863" s="4">
        <v>7</v>
      </c>
      <c r="G863" s="4" t="s">
        <v>1974</v>
      </c>
      <c r="H863" s="4" t="s">
        <v>1975</v>
      </c>
    </row>
    <row r="864" spans="1:8" ht="15.5" x14ac:dyDescent="0.35">
      <c r="A864" s="4" t="s">
        <v>1964</v>
      </c>
      <c r="B864" s="4">
        <v>1966</v>
      </c>
      <c r="C864" s="4"/>
      <c r="D864" s="9">
        <v>15</v>
      </c>
      <c r="E864" s="10" t="s">
        <v>867</v>
      </c>
      <c r="F864" s="4">
        <v>6</v>
      </c>
      <c r="G864" s="4" t="s">
        <v>1976</v>
      </c>
      <c r="H864" s="4" t="s">
        <v>1977</v>
      </c>
    </row>
    <row r="865" spans="1:8" ht="15.5" x14ac:dyDescent="0.35">
      <c r="A865" s="4" t="s">
        <v>1964</v>
      </c>
      <c r="B865" s="4">
        <v>1967</v>
      </c>
      <c r="C865" s="4"/>
      <c r="D865" s="9">
        <v>2</v>
      </c>
      <c r="E865" s="10" t="s">
        <v>118</v>
      </c>
      <c r="F865" s="4">
        <v>13</v>
      </c>
      <c r="G865" s="4" t="s">
        <v>1974</v>
      </c>
      <c r="H865" s="4" t="s">
        <v>1978</v>
      </c>
    </row>
    <row r="866" spans="1:8" ht="15.5" x14ac:dyDescent="0.35">
      <c r="A866" s="4" t="s">
        <v>1964</v>
      </c>
      <c r="B866" s="4">
        <v>1968</v>
      </c>
      <c r="C866" s="4"/>
      <c r="D866" s="9">
        <v>2</v>
      </c>
      <c r="E866" s="10" t="s">
        <v>121</v>
      </c>
      <c r="F866" s="4">
        <v>13</v>
      </c>
      <c r="G866" s="4" t="s">
        <v>1979</v>
      </c>
      <c r="H866" s="4" t="s">
        <v>1980</v>
      </c>
    </row>
    <row r="867" spans="1:8" ht="15.5" x14ac:dyDescent="0.35">
      <c r="A867" s="4" t="s">
        <v>1964</v>
      </c>
      <c r="B867" s="4">
        <v>1969</v>
      </c>
      <c r="C867" s="4"/>
      <c r="D867" s="9">
        <v>1</v>
      </c>
      <c r="E867" s="10" t="s">
        <v>1981</v>
      </c>
      <c r="F867" s="4">
        <v>12</v>
      </c>
      <c r="G867" s="4" t="s">
        <v>1974</v>
      </c>
      <c r="H867" s="4" t="s">
        <v>1982</v>
      </c>
    </row>
    <row r="868" spans="1:8" ht="15.5" x14ac:dyDescent="0.35">
      <c r="A868" s="4" t="s">
        <v>1964</v>
      </c>
      <c r="B868" s="4">
        <v>1971</v>
      </c>
      <c r="C868" s="4"/>
      <c r="D868" s="9">
        <v>65</v>
      </c>
      <c r="E868" s="10" t="s">
        <v>132</v>
      </c>
      <c r="F868" s="4">
        <v>18</v>
      </c>
      <c r="G868" s="4" t="s">
        <v>1983</v>
      </c>
      <c r="H868" s="4" t="s">
        <v>1984</v>
      </c>
    </row>
    <row r="869" spans="1:8" ht="15.5" x14ac:dyDescent="0.35">
      <c r="A869" s="4" t="s">
        <v>1964</v>
      </c>
      <c r="B869" s="4">
        <v>1972</v>
      </c>
      <c r="C869" s="4"/>
      <c r="D869" s="9">
        <v>73</v>
      </c>
      <c r="E869" s="10" t="s">
        <v>304</v>
      </c>
      <c r="F869" s="4">
        <v>6</v>
      </c>
      <c r="G869" s="4" t="s">
        <v>1985</v>
      </c>
      <c r="H869" s="4" t="s">
        <v>1986</v>
      </c>
    </row>
    <row r="870" spans="1:8" ht="15.5" x14ac:dyDescent="0.35">
      <c r="A870" s="4" t="s">
        <v>1964</v>
      </c>
      <c r="B870" s="4">
        <v>1973</v>
      </c>
      <c r="C870" s="4"/>
      <c r="D870" s="9">
        <v>89</v>
      </c>
      <c r="E870" s="10" t="s">
        <v>295</v>
      </c>
      <c r="F870" s="4">
        <v>5</v>
      </c>
      <c r="G870" s="4" t="s">
        <v>1987</v>
      </c>
      <c r="H870" s="4" t="s">
        <v>1988</v>
      </c>
    </row>
    <row r="871" spans="1:8" ht="15.5" x14ac:dyDescent="0.35">
      <c r="A871" s="4" t="s">
        <v>1964</v>
      </c>
      <c r="B871" s="4">
        <v>1974</v>
      </c>
      <c r="C871" s="4"/>
      <c r="D871" s="9">
        <v>3</v>
      </c>
      <c r="E871" s="10" t="s">
        <v>118</v>
      </c>
      <c r="F871" s="4">
        <v>4</v>
      </c>
      <c r="G871" s="4" t="s">
        <v>1989</v>
      </c>
      <c r="H871" s="4" t="s">
        <v>1990</v>
      </c>
    </row>
    <row r="872" spans="1:8" ht="15.5" x14ac:dyDescent="0.35">
      <c r="A872" s="4" t="s">
        <v>1964</v>
      </c>
      <c r="B872" s="4">
        <v>1975</v>
      </c>
      <c r="C872" s="4"/>
      <c r="D872" s="9">
        <v>11</v>
      </c>
      <c r="E872" s="10" t="s">
        <v>138</v>
      </c>
      <c r="F872" s="4">
        <v>6</v>
      </c>
      <c r="G872" s="4" t="s">
        <v>1991</v>
      </c>
      <c r="H872" s="4" t="s">
        <v>1992</v>
      </c>
    </row>
    <row r="873" spans="1:8" ht="15.5" x14ac:dyDescent="0.35">
      <c r="A873" s="4" t="s">
        <v>1964</v>
      </c>
      <c r="B873" s="4">
        <v>1976</v>
      </c>
      <c r="C873" s="4"/>
      <c r="D873" s="9">
        <v>7</v>
      </c>
      <c r="E873" s="10" t="s">
        <v>784</v>
      </c>
      <c r="F873" s="4">
        <v>9</v>
      </c>
      <c r="G873" s="4" t="s">
        <v>1993</v>
      </c>
      <c r="H873" s="4" t="s">
        <v>253</v>
      </c>
    </row>
    <row r="874" spans="1:8" ht="15.5" x14ac:dyDescent="0.35">
      <c r="A874" s="4" t="s">
        <v>1964</v>
      </c>
      <c r="B874" s="4">
        <v>1977</v>
      </c>
      <c r="C874" s="4"/>
      <c r="D874" s="9">
        <v>18</v>
      </c>
      <c r="E874" s="10" t="s">
        <v>304</v>
      </c>
      <c r="F874" s="4">
        <v>5</v>
      </c>
      <c r="G874" s="4" t="s">
        <v>1994</v>
      </c>
      <c r="H874" s="4" t="s">
        <v>1995</v>
      </c>
    </row>
    <row r="875" spans="1:8" ht="15.5" x14ac:dyDescent="0.35">
      <c r="A875" s="4" t="s">
        <v>1964</v>
      </c>
      <c r="B875" s="4">
        <v>1978</v>
      </c>
      <c r="C875" s="4"/>
      <c r="D875" s="9">
        <v>0</v>
      </c>
      <c r="E875" s="10" t="s">
        <v>521</v>
      </c>
      <c r="F875" s="4">
        <v>2</v>
      </c>
      <c r="G875" s="4" t="s">
        <v>1996</v>
      </c>
      <c r="H875" s="4" t="s">
        <v>1997</v>
      </c>
    </row>
    <row r="876" spans="1:8" ht="15.5" x14ac:dyDescent="0.35">
      <c r="A876" s="4" t="s">
        <v>1964</v>
      </c>
      <c r="B876" s="4">
        <v>1979</v>
      </c>
      <c r="C876" s="4"/>
      <c r="D876" s="9">
        <v>57</v>
      </c>
      <c r="E876" s="10" t="s">
        <v>636</v>
      </c>
      <c r="F876" s="4">
        <v>16</v>
      </c>
      <c r="G876" s="4" t="s">
        <v>1994</v>
      </c>
      <c r="H876" s="4" t="s">
        <v>1998</v>
      </c>
    </row>
    <row r="877" spans="1:8" ht="15.5" x14ac:dyDescent="0.35">
      <c r="A877" s="4" t="s">
        <v>1964</v>
      </c>
      <c r="B877" s="4">
        <v>1980</v>
      </c>
      <c r="C877" s="4"/>
      <c r="D877" s="9">
        <v>15</v>
      </c>
      <c r="E877" s="10" t="s">
        <v>518</v>
      </c>
      <c r="F877" s="4">
        <v>11</v>
      </c>
      <c r="G877" s="4" t="s">
        <v>1999</v>
      </c>
      <c r="H877" s="4" t="s">
        <v>2000</v>
      </c>
    </row>
    <row r="878" spans="1:8" ht="15.5" x14ac:dyDescent="0.35">
      <c r="A878" s="4" t="s">
        <v>1964</v>
      </c>
      <c r="B878" s="4">
        <v>1981</v>
      </c>
      <c r="C878" s="4"/>
      <c r="D878" s="9">
        <v>0</v>
      </c>
      <c r="E878" s="10" t="s">
        <v>521</v>
      </c>
      <c r="F878" s="4">
        <v>13</v>
      </c>
      <c r="G878" s="4" t="s">
        <v>2001</v>
      </c>
      <c r="H878" s="4" t="s">
        <v>2002</v>
      </c>
    </row>
    <row r="879" spans="1:8" ht="15.5" x14ac:dyDescent="0.35">
      <c r="A879" s="4" t="s">
        <v>1964</v>
      </c>
      <c r="B879" s="4">
        <v>1982</v>
      </c>
      <c r="C879" s="4"/>
      <c r="D879" s="9">
        <v>40</v>
      </c>
      <c r="E879" s="10" t="s">
        <v>761</v>
      </c>
      <c r="F879" s="4">
        <v>3</v>
      </c>
      <c r="G879" s="4" t="s">
        <v>2003</v>
      </c>
      <c r="H879" s="4" t="s">
        <v>2004</v>
      </c>
    </row>
    <row r="880" spans="1:8" ht="15.5" x14ac:dyDescent="0.35">
      <c r="A880" s="4" t="s">
        <v>1964</v>
      </c>
      <c r="B880" s="4">
        <v>1983</v>
      </c>
      <c r="C880" s="4"/>
      <c r="D880" s="9">
        <v>53</v>
      </c>
      <c r="E880" s="10" t="s">
        <v>150</v>
      </c>
      <c r="F880" s="4">
        <v>2</v>
      </c>
      <c r="G880" s="4" t="s">
        <v>1996</v>
      </c>
      <c r="H880" s="4" t="s">
        <v>2005</v>
      </c>
    </row>
    <row r="881" spans="1:8" ht="15.5" x14ac:dyDescent="0.35">
      <c r="A881" s="4" t="s">
        <v>1964</v>
      </c>
      <c r="B881" s="4">
        <v>1984</v>
      </c>
      <c r="C881" s="4"/>
      <c r="D881" s="9">
        <v>29</v>
      </c>
      <c r="E881" s="10" t="s">
        <v>328</v>
      </c>
      <c r="F881" s="4">
        <v>5</v>
      </c>
      <c r="G881" s="4" t="s">
        <v>2006</v>
      </c>
      <c r="H881" s="4" t="s">
        <v>2007</v>
      </c>
    </row>
    <row r="882" spans="1:8" ht="15.5" x14ac:dyDescent="0.35">
      <c r="A882" s="4" t="s">
        <v>1964</v>
      </c>
      <c r="B882" s="4">
        <v>1985</v>
      </c>
      <c r="C882" s="4"/>
      <c r="D882" s="9">
        <v>123</v>
      </c>
      <c r="E882" s="10" t="s">
        <v>1350</v>
      </c>
      <c r="F882" s="4">
        <v>13</v>
      </c>
      <c r="G882" s="4" t="s">
        <v>2008</v>
      </c>
      <c r="H882" s="4" t="s">
        <v>2009</v>
      </c>
    </row>
    <row r="883" spans="1:8" ht="15.5" x14ac:dyDescent="0.35">
      <c r="A883" s="4" t="s">
        <v>1964</v>
      </c>
      <c r="B883" s="4">
        <v>1986</v>
      </c>
      <c r="C883" s="4"/>
      <c r="D883" s="9">
        <v>44</v>
      </c>
      <c r="E883" s="10" t="s">
        <v>1531</v>
      </c>
      <c r="F883" s="4">
        <v>4</v>
      </c>
      <c r="G883" s="4" t="s">
        <v>2010</v>
      </c>
      <c r="H883" s="4" t="s">
        <v>2011</v>
      </c>
    </row>
    <row r="884" spans="1:8" ht="15.5" x14ac:dyDescent="0.35">
      <c r="A884" s="4" t="s">
        <v>1964</v>
      </c>
      <c r="B884" s="4">
        <v>1987</v>
      </c>
      <c r="C884" s="4"/>
      <c r="D884" s="9">
        <v>65</v>
      </c>
      <c r="E884" s="10" t="s">
        <v>532</v>
      </c>
      <c r="F884" s="4">
        <v>1</v>
      </c>
      <c r="G884" s="4" t="s">
        <v>2012</v>
      </c>
      <c r="H884" s="4" t="s">
        <v>2013</v>
      </c>
    </row>
    <row r="885" spans="1:8" ht="15.5" x14ac:dyDescent="0.35">
      <c r="A885" s="4" t="s">
        <v>1964</v>
      </c>
      <c r="B885" s="4">
        <v>1988</v>
      </c>
      <c r="C885" s="4"/>
      <c r="D885" s="9">
        <v>88</v>
      </c>
      <c r="E885" s="10" t="s">
        <v>2014</v>
      </c>
      <c r="F885" s="4">
        <v>15</v>
      </c>
      <c r="G885" s="4" t="s">
        <v>2015</v>
      </c>
      <c r="H885" s="4" t="s">
        <v>2016</v>
      </c>
    </row>
    <row r="886" spans="1:8" ht="15.5" x14ac:dyDescent="0.35">
      <c r="A886" s="4" t="s">
        <v>1964</v>
      </c>
      <c r="B886" s="4">
        <v>1989</v>
      </c>
      <c r="C886" s="4"/>
      <c r="D886" s="9">
        <v>30</v>
      </c>
      <c r="E886" s="10" t="s">
        <v>2017</v>
      </c>
      <c r="F886" s="4">
        <v>8</v>
      </c>
      <c r="G886" s="4" t="s">
        <v>2018</v>
      </c>
      <c r="H886" s="4" t="s">
        <v>2019</v>
      </c>
    </row>
    <row r="887" spans="1:8" ht="15.5" x14ac:dyDescent="0.35">
      <c r="A887" s="4" t="s">
        <v>1964</v>
      </c>
      <c r="B887" s="4">
        <v>1990</v>
      </c>
      <c r="C887" s="4"/>
      <c r="D887" s="9">
        <v>8</v>
      </c>
      <c r="E887" s="10" t="s">
        <v>804</v>
      </c>
      <c r="F887" s="4">
        <v>9</v>
      </c>
      <c r="G887" s="4" t="s">
        <v>2010</v>
      </c>
      <c r="H887" s="4" t="s">
        <v>2020</v>
      </c>
    </row>
    <row r="888" spans="1:8" ht="15.5" x14ac:dyDescent="0.35">
      <c r="A888" s="4" t="s">
        <v>1964</v>
      </c>
      <c r="B888" s="4">
        <v>1991</v>
      </c>
      <c r="C888" s="4"/>
      <c r="D888" s="9">
        <v>14</v>
      </c>
      <c r="E888" s="10" t="s">
        <v>2017</v>
      </c>
      <c r="F888" s="4">
        <v>14</v>
      </c>
      <c r="G888" s="4" t="s">
        <v>2021</v>
      </c>
      <c r="H888" s="4" t="s">
        <v>2022</v>
      </c>
    </row>
    <row r="889" spans="1:8" ht="15.5" x14ac:dyDescent="0.35">
      <c r="A889" s="4" t="s">
        <v>1964</v>
      </c>
      <c r="B889" s="4">
        <v>1992</v>
      </c>
      <c r="C889" s="4"/>
      <c r="D889" s="9">
        <v>23</v>
      </c>
      <c r="E889" s="10" t="s">
        <v>1586</v>
      </c>
      <c r="F889" s="4">
        <v>21</v>
      </c>
      <c r="G889" s="4" t="s">
        <v>2023</v>
      </c>
      <c r="H889" s="4" t="s">
        <v>2024</v>
      </c>
    </row>
    <row r="890" spans="1:8" ht="15.5" x14ac:dyDescent="0.35">
      <c r="A890" s="4" t="s">
        <v>1964</v>
      </c>
      <c r="B890" s="4">
        <v>1993</v>
      </c>
      <c r="C890" s="4"/>
      <c r="D890" s="9">
        <v>120</v>
      </c>
      <c r="E890" s="10" t="s">
        <v>228</v>
      </c>
      <c r="F890" s="4">
        <v>25</v>
      </c>
      <c r="G890" s="4" t="s">
        <v>2025</v>
      </c>
      <c r="H890" s="4" t="s">
        <v>2026</v>
      </c>
    </row>
    <row r="891" spans="1:8" ht="15.5" x14ac:dyDescent="0.35">
      <c r="A891" s="4" t="s">
        <v>1964</v>
      </c>
      <c r="B891" s="4">
        <v>1994</v>
      </c>
      <c r="C891" s="4"/>
      <c r="D891" s="9">
        <v>76</v>
      </c>
      <c r="E891" s="10" t="s">
        <v>372</v>
      </c>
      <c r="F891" s="4">
        <v>17</v>
      </c>
      <c r="G891" s="4" t="s">
        <v>2027</v>
      </c>
      <c r="H891" s="4" t="s">
        <v>2028</v>
      </c>
    </row>
    <row r="892" spans="1:8" ht="15.5" x14ac:dyDescent="0.35">
      <c r="A892" s="4" t="s">
        <v>1964</v>
      </c>
      <c r="B892" s="4">
        <v>1995</v>
      </c>
      <c r="C892" s="4"/>
      <c r="D892" s="9">
        <v>148</v>
      </c>
      <c r="E892" s="10" t="s">
        <v>712</v>
      </c>
      <c r="F892" s="4">
        <v>5</v>
      </c>
      <c r="G892" s="4" t="s">
        <v>2029</v>
      </c>
      <c r="H892" s="4" t="s">
        <v>2030</v>
      </c>
    </row>
    <row r="893" spans="1:8" ht="15.5" x14ac:dyDescent="0.35">
      <c r="A893" s="4" t="s">
        <v>1964</v>
      </c>
      <c r="B893" s="4">
        <v>1996</v>
      </c>
      <c r="C893" s="4"/>
      <c r="D893" s="9">
        <v>114</v>
      </c>
      <c r="E893" s="10" t="s">
        <v>667</v>
      </c>
      <c r="F893" s="4">
        <v>12</v>
      </c>
      <c r="G893" s="4" t="s">
        <v>2031</v>
      </c>
      <c r="H893" s="4" t="s">
        <v>2032</v>
      </c>
    </row>
    <row r="894" spans="1:8" ht="15.5" x14ac:dyDescent="0.35">
      <c r="A894" s="4" t="s">
        <v>1964</v>
      </c>
      <c r="B894" s="4">
        <v>1997</v>
      </c>
      <c r="C894" s="4"/>
      <c r="D894" s="9">
        <v>0</v>
      </c>
      <c r="E894" s="10" t="s">
        <v>260</v>
      </c>
      <c r="F894" s="4">
        <v>3</v>
      </c>
      <c r="G894" s="4" t="s">
        <v>2033</v>
      </c>
      <c r="H894" s="4" t="s">
        <v>2034</v>
      </c>
    </row>
    <row r="895" spans="1:8" ht="15.5" x14ac:dyDescent="0.35">
      <c r="A895" s="4" t="s">
        <v>1964</v>
      </c>
      <c r="B895" s="4">
        <v>1998</v>
      </c>
      <c r="C895" s="4"/>
      <c r="D895" s="9">
        <v>79</v>
      </c>
      <c r="E895" s="10" t="s">
        <v>222</v>
      </c>
      <c r="F895" s="4">
        <v>22</v>
      </c>
      <c r="G895" s="4" t="s">
        <v>2035</v>
      </c>
      <c r="H895" s="4" t="s">
        <v>2036</v>
      </c>
    </row>
    <row r="896" spans="1:8" ht="15.5" x14ac:dyDescent="0.35">
      <c r="A896" s="4" t="s">
        <v>1964</v>
      </c>
      <c r="B896" s="4">
        <v>1999</v>
      </c>
      <c r="C896" s="4"/>
      <c r="D896" s="9">
        <v>35</v>
      </c>
      <c r="E896" s="10" t="s">
        <v>424</v>
      </c>
      <c r="F896" s="4">
        <v>8</v>
      </c>
      <c r="G896" s="4" t="s">
        <v>2037</v>
      </c>
      <c r="H896" s="4" t="s">
        <v>2038</v>
      </c>
    </row>
    <row r="897" spans="1:8" ht="15.5" x14ac:dyDescent="0.35">
      <c r="A897" s="4" t="s">
        <v>1964</v>
      </c>
      <c r="B897" s="4">
        <v>2000</v>
      </c>
      <c r="C897" s="4"/>
      <c r="D897" s="9">
        <v>57</v>
      </c>
      <c r="E897" s="10" t="s">
        <v>439</v>
      </c>
      <c r="F897" s="4">
        <v>8</v>
      </c>
      <c r="G897" s="4" t="s">
        <v>2039</v>
      </c>
      <c r="H897" s="4" t="s">
        <v>2040</v>
      </c>
    </row>
    <row r="898" spans="1:8" ht="15.5" x14ac:dyDescent="0.35">
      <c r="A898" s="4" t="s">
        <v>1964</v>
      </c>
      <c r="B898" s="4">
        <v>2001</v>
      </c>
      <c r="C898" s="4"/>
      <c r="D898" s="9">
        <v>3</v>
      </c>
      <c r="E898" s="10" t="s">
        <v>416</v>
      </c>
      <c r="F898" s="4">
        <v>4</v>
      </c>
      <c r="G898" s="4" t="s">
        <v>2041</v>
      </c>
      <c r="H898" s="4" t="s">
        <v>2042</v>
      </c>
    </row>
    <row r="899" spans="1:8" ht="15.5" x14ac:dyDescent="0.35">
      <c r="A899" s="4" t="s">
        <v>1964</v>
      </c>
      <c r="B899" s="4">
        <v>2003</v>
      </c>
      <c r="C899" s="4"/>
      <c r="D899" s="9">
        <v>123</v>
      </c>
      <c r="E899" s="10" t="s">
        <v>57</v>
      </c>
      <c r="F899" s="4">
        <v>18</v>
      </c>
      <c r="G899" s="4" t="s">
        <v>2043</v>
      </c>
      <c r="H899" s="4" t="s">
        <v>2044</v>
      </c>
    </row>
    <row r="900" spans="1:8" ht="15.5" x14ac:dyDescent="0.35">
      <c r="A900" s="4" t="s">
        <v>1964</v>
      </c>
      <c r="B900" s="4">
        <v>2004</v>
      </c>
      <c r="C900" s="4" t="s">
        <v>9</v>
      </c>
      <c r="D900" s="9">
        <v>3</v>
      </c>
      <c r="E900" s="10" t="s">
        <v>378</v>
      </c>
      <c r="F900" s="4">
        <v>3</v>
      </c>
      <c r="G900" s="4" t="s">
        <v>2045</v>
      </c>
      <c r="H900" s="4" t="s">
        <v>2046</v>
      </c>
    </row>
    <row r="901" spans="1:8" ht="15.5" x14ac:dyDescent="0.35">
      <c r="A901" s="4" t="s">
        <v>1964</v>
      </c>
      <c r="B901" s="4">
        <v>2005</v>
      </c>
      <c r="C901" s="4" t="s">
        <v>9</v>
      </c>
      <c r="D901" s="9">
        <v>125</v>
      </c>
      <c r="E901" s="10" t="s">
        <v>431</v>
      </c>
      <c r="F901" s="4">
        <v>5</v>
      </c>
      <c r="G901" s="4" t="s">
        <v>2047</v>
      </c>
      <c r="H901" s="4" t="s">
        <v>2048</v>
      </c>
    </row>
    <row r="902" spans="1:8" ht="15.5" x14ac:dyDescent="0.35">
      <c r="A902" s="4" t="s">
        <v>1964</v>
      </c>
      <c r="B902" s="4">
        <v>2006</v>
      </c>
      <c r="C902" s="4" t="s">
        <v>9</v>
      </c>
      <c r="D902" s="9">
        <v>36</v>
      </c>
      <c r="E902" s="10" t="s">
        <v>191</v>
      </c>
      <c r="F902" s="4">
        <v>5</v>
      </c>
      <c r="G902" s="4" t="s">
        <v>2049</v>
      </c>
      <c r="H902" s="4" t="s">
        <v>2050</v>
      </c>
    </row>
    <row r="903" spans="1:8" ht="15.5" x14ac:dyDescent="0.35">
      <c r="A903" s="4" t="s">
        <v>1964</v>
      </c>
      <c r="B903" s="4">
        <v>2008</v>
      </c>
      <c r="C903" s="4" t="s">
        <v>9</v>
      </c>
      <c r="D903" s="9">
        <v>182</v>
      </c>
      <c r="E903" s="10" t="s">
        <v>228</v>
      </c>
      <c r="F903" s="4">
        <v>25</v>
      </c>
      <c r="G903" s="4" t="s">
        <v>2051</v>
      </c>
      <c r="H903" s="4" t="s">
        <v>2052</v>
      </c>
    </row>
    <row r="904" spans="1:8" ht="15.5" x14ac:dyDescent="0.35">
      <c r="A904" s="4" t="s">
        <v>1964</v>
      </c>
      <c r="B904" s="4">
        <v>2009</v>
      </c>
      <c r="C904" s="4" t="s">
        <v>9</v>
      </c>
      <c r="D904" s="9">
        <v>387</v>
      </c>
      <c r="E904" s="10" t="s">
        <v>231</v>
      </c>
      <c r="F904" s="4">
        <v>20</v>
      </c>
      <c r="G904" s="4" t="s">
        <v>2053</v>
      </c>
      <c r="H904" s="4" t="s">
        <v>2054</v>
      </c>
    </row>
    <row r="905" spans="1:8" ht="15.5" x14ac:dyDescent="0.35">
      <c r="A905" s="4" t="s">
        <v>1964</v>
      </c>
      <c r="B905" s="4">
        <v>2010</v>
      </c>
      <c r="C905" s="4" t="s">
        <v>9</v>
      </c>
      <c r="D905" s="9">
        <v>35</v>
      </c>
      <c r="E905" s="10" t="s">
        <v>68</v>
      </c>
      <c r="F905" s="4">
        <v>3</v>
      </c>
      <c r="G905" s="4" t="s">
        <v>2055</v>
      </c>
      <c r="H905" s="4" t="s">
        <v>2056</v>
      </c>
    </row>
    <row r="906" spans="1:8" ht="15.5" x14ac:dyDescent="0.35">
      <c r="A906" s="4" t="s">
        <v>1964</v>
      </c>
      <c r="B906" s="4">
        <v>2012</v>
      </c>
      <c r="C906" s="4" t="s">
        <v>9</v>
      </c>
      <c r="D906" s="9">
        <v>7</v>
      </c>
      <c r="E906" s="10" t="s">
        <v>972</v>
      </c>
      <c r="F906" s="4">
        <v>12</v>
      </c>
      <c r="G906" s="4" t="s">
        <v>2057</v>
      </c>
      <c r="H906" s="4" t="s">
        <v>2058</v>
      </c>
    </row>
    <row r="907" spans="1:8" ht="15.5" x14ac:dyDescent="0.35">
      <c r="A907" s="4" t="s">
        <v>1964</v>
      </c>
      <c r="B907" s="4">
        <v>2013</v>
      </c>
      <c r="C907" s="4" t="s">
        <v>9</v>
      </c>
      <c r="D907" s="9">
        <v>191</v>
      </c>
      <c r="E907" s="10" t="s">
        <v>57</v>
      </c>
      <c r="F907" s="4">
        <v>24</v>
      </c>
      <c r="G907" s="4" t="s">
        <v>2059</v>
      </c>
      <c r="H907" s="4" t="s">
        <v>2060</v>
      </c>
    </row>
    <row r="908" spans="1:8" ht="15.5" x14ac:dyDescent="0.35">
      <c r="A908" s="4" t="s">
        <v>1964</v>
      </c>
      <c r="B908" s="4">
        <v>2014</v>
      </c>
      <c r="C908" s="4" t="s">
        <v>9</v>
      </c>
      <c r="D908" s="9">
        <v>88</v>
      </c>
      <c r="E908" s="10" t="s">
        <v>249</v>
      </c>
      <c r="F908" s="4">
        <v>5</v>
      </c>
      <c r="G908" s="4" t="s">
        <v>2061</v>
      </c>
      <c r="H908" s="4" t="s">
        <v>2062</v>
      </c>
    </row>
    <row r="909" spans="1:8" ht="15.5" x14ac:dyDescent="0.35">
      <c r="A909" s="4" t="s">
        <v>1964</v>
      </c>
      <c r="B909" s="4">
        <v>2015</v>
      </c>
      <c r="C909" s="4" t="s">
        <v>9</v>
      </c>
      <c r="D909" s="9">
        <v>102</v>
      </c>
      <c r="E909" s="10" t="s">
        <v>2063</v>
      </c>
      <c r="F909" s="4">
        <v>9</v>
      </c>
      <c r="G909" s="4" t="s">
        <v>2064</v>
      </c>
      <c r="H909" s="4" t="s">
        <v>2065</v>
      </c>
    </row>
    <row r="910" spans="1:8" ht="15.5" x14ac:dyDescent="0.35">
      <c r="A910" s="4" t="s">
        <v>1964</v>
      </c>
      <c r="B910" s="4">
        <v>2017</v>
      </c>
      <c r="C910" s="4" t="s">
        <v>9</v>
      </c>
      <c r="D910" s="9">
        <v>158</v>
      </c>
      <c r="E910" s="10" t="s">
        <v>397</v>
      </c>
      <c r="F910" s="4">
        <v>17</v>
      </c>
      <c r="G910" s="4" t="s">
        <v>2066</v>
      </c>
      <c r="H910" s="4" t="s">
        <v>2067</v>
      </c>
    </row>
    <row r="911" spans="1:8" ht="15.5" x14ac:dyDescent="0.35">
      <c r="A911" s="4" t="s">
        <v>1964</v>
      </c>
      <c r="B911" s="4">
        <v>2018</v>
      </c>
      <c r="C911" s="4" t="s">
        <v>9</v>
      </c>
      <c r="D911" s="9">
        <v>144</v>
      </c>
      <c r="E911" s="10" t="s">
        <v>488</v>
      </c>
      <c r="F911" s="4">
        <v>7</v>
      </c>
      <c r="G911" s="4" t="s">
        <v>2053</v>
      </c>
      <c r="H911" s="4" t="s">
        <v>2068</v>
      </c>
    </row>
    <row r="912" spans="1:8" ht="15.5" x14ac:dyDescent="0.35">
      <c r="A912" s="4" t="s">
        <v>1964</v>
      </c>
      <c r="B912" s="4">
        <v>2019</v>
      </c>
      <c r="C912" s="4" t="s">
        <v>9</v>
      </c>
      <c r="D912" s="9">
        <v>331</v>
      </c>
      <c r="E912" s="10" t="s">
        <v>197</v>
      </c>
      <c r="F912" s="4">
        <v>15</v>
      </c>
      <c r="G912" s="4" t="s">
        <v>2069</v>
      </c>
      <c r="H912" s="4" t="s">
        <v>2070</v>
      </c>
    </row>
    <row r="913" spans="1:8" ht="15.5" x14ac:dyDescent="0.35">
      <c r="A913" s="4" t="s">
        <v>1964</v>
      </c>
      <c r="B913" s="4">
        <v>2021</v>
      </c>
      <c r="C913" s="4" t="s">
        <v>9</v>
      </c>
      <c r="D913" s="9">
        <v>75</v>
      </c>
      <c r="E913" s="10" t="s">
        <v>54</v>
      </c>
      <c r="F913" s="4">
        <v>22</v>
      </c>
      <c r="G913" s="4" t="s">
        <v>2071</v>
      </c>
      <c r="H913" s="4" t="s">
        <v>2072</v>
      </c>
    </row>
    <row r="914" spans="1:8" ht="15.5" x14ac:dyDescent="0.35">
      <c r="A914" s="4" t="s">
        <v>1964</v>
      </c>
      <c r="B914" s="4">
        <v>2022</v>
      </c>
      <c r="C914" s="4" t="s">
        <v>9</v>
      </c>
      <c r="D914" s="9">
        <v>182</v>
      </c>
      <c r="E914" s="10" t="s">
        <v>48</v>
      </c>
      <c r="F914" s="4">
        <v>7</v>
      </c>
      <c r="G914" s="4" t="s">
        <v>2073</v>
      </c>
      <c r="H914" s="4" t="s">
        <v>2074</v>
      </c>
    </row>
    <row r="915" spans="1:8" ht="15.5" x14ac:dyDescent="0.35">
      <c r="A915" s="4" t="s">
        <v>2075</v>
      </c>
      <c r="B915" s="4">
        <v>1994</v>
      </c>
      <c r="C915" s="4"/>
      <c r="D915" s="9">
        <v>166</v>
      </c>
      <c r="E915" s="10" t="s">
        <v>1295</v>
      </c>
      <c r="F915" s="4">
        <v>24</v>
      </c>
      <c r="G915" s="4" t="s">
        <v>2076</v>
      </c>
      <c r="H915" s="4" t="s">
        <v>2077</v>
      </c>
    </row>
    <row r="916" spans="1:8" ht="15.5" x14ac:dyDescent="0.35">
      <c r="A916" s="4" t="s">
        <v>2075</v>
      </c>
      <c r="B916" s="4">
        <v>1995</v>
      </c>
      <c r="C916" s="4"/>
      <c r="D916" s="9">
        <v>15</v>
      </c>
      <c r="E916" s="10" t="s">
        <v>1586</v>
      </c>
      <c r="F916" s="4">
        <v>1</v>
      </c>
      <c r="G916" s="4" t="s">
        <v>2078</v>
      </c>
      <c r="H916" s="4" t="s">
        <v>2079</v>
      </c>
    </row>
    <row r="917" spans="1:8" ht="15.5" x14ac:dyDescent="0.35">
      <c r="A917" s="4" t="s">
        <v>2075</v>
      </c>
      <c r="B917" s="4">
        <v>1996</v>
      </c>
      <c r="C917" s="4"/>
      <c r="D917" s="9">
        <v>31</v>
      </c>
      <c r="E917" s="10" t="s">
        <v>1276</v>
      </c>
      <c r="F917" s="4">
        <v>20</v>
      </c>
      <c r="G917" s="4" t="s">
        <v>2080</v>
      </c>
      <c r="H917" s="4" t="s">
        <v>2081</v>
      </c>
    </row>
    <row r="918" spans="1:8" ht="15.5" x14ac:dyDescent="0.35">
      <c r="A918" s="4" t="s">
        <v>2075</v>
      </c>
      <c r="B918" s="4">
        <v>1997</v>
      </c>
      <c r="C918" s="4"/>
      <c r="D918" s="9">
        <v>54</v>
      </c>
      <c r="E918" s="10" t="s">
        <v>540</v>
      </c>
      <c r="F918" s="4">
        <v>12</v>
      </c>
      <c r="G918" s="4" t="s">
        <v>2082</v>
      </c>
      <c r="H918" s="4" t="s">
        <v>2083</v>
      </c>
    </row>
    <row r="919" spans="1:8" ht="15.5" x14ac:dyDescent="0.35">
      <c r="A919" s="4" t="s">
        <v>2075</v>
      </c>
      <c r="B919" s="4">
        <v>1998</v>
      </c>
      <c r="C919" s="4"/>
      <c r="D919" s="9">
        <v>19</v>
      </c>
      <c r="E919" s="10" t="s">
        <v>16</v>
      </c>
      <c r="F919" s="4">
        <v>7</v>
      </c>
      <c r="G919" s="4" t="s">
        <v>2084</v>
      </c>
      <c r="H919" s="4" t="s">
        <v>2085</v>
      </c>
    </row>
    <row r="920" spans="1:8" ht="15.5" x14ac:dyDescent="0.35">
      <c r="A920" s="4" t="s">
        <v>2075</v>
      </c>
      <c r="B920" s="4">
        <v>1999</v>
      </c>
      <c r="C920" s="4"/>
      <c r="D920" s="9">
        <v>17</v>
      </c>
      <c r="E920" s="10" t="s">
        <v>1586</v>
      </c>
      <c r="F920" s="4">
        <v>12</v>
      </c>
      <c r="G920" s="4" t="s">
        <v>2086</v>
      </c>
      <c r="H920" s="4" t="s">
        <v>2087</v>
      </c>
    </row>
    <row r="921" spans="1:8" ht="15.5" x14ac:dyDescent="0.35">
      <c r="A921" s="4" t="s">
        <v>2075</v>
      </c>
      <c r="B921" s="4">
        <v>2001</v>
      </c>
      <c r="C921" s="4"/>
      <c r="D921" s="9">
        <v>11</v>
      </c>
      <c r="E921" s="10" t="s">
        <v>361</v>
      </c>
      <c r="F921" s="4">
        <v>18</v>
      </c>
      <c r="G921" s="4" t="s">
        <v>2088</v>
      </c>
      <c r="H921" s="4" t="s">
        <v>2089</v>
      </c>
    </row>
    <row r="922" spans="1:8" ht="15.5" x14ac:dyDescent="0.35">
      <c r="A922" s="4" t="s">
        <v>2075</v>
      </c>
      <c r="B922" s="4">
        <v>2003</v>
      </c>
      <c r="C922" s="4"/>
      <c r="D922" s="9">
        <v>90</v>
      </c>
      <c r="E922" s="10" t="s">
        <v>63</v>
      </c>
      <c r="F922" s="4">
        <v>20</v>
      </c>
      <c r="G922" s="4" t="s">
        <v>2090</v>
      </c>
      <c r="H922" s="4" t="s">
        <v>2091</v>
      </c>
    </row>
    <row r="923" spans="1:8" ht="15.5" x14ac:dyDescent="0.35">
      <c r="A923" s="4" t="s">
        <v>2075</v>
      </c>
      <c r="B923" s="4">
        <v>2004</v>
      </c>
      <c r="C923" s="4" t="s">
        <v>9</v>
      </c>
      <c r="D923" s="9">
        <v>27</v>
      </c>
      <c r="E923" s="10" t="s">
        <v>826</v>
      </c>
      <c r="F923" s="4">
        <v>19</v>
      </c>
      <c r="G923" s="4" t="s">
        <v>2092</v>
      </c>
      <c r="H923" s="4" t="s">
        <v>2093</v>
      </c>
    </row>
    <row r="924" spans="1:8" ht="15.5" x14ac:dyDescent="0.35">
      <c r="A924" s="4" t="s">
        <v>2075</v>
      </c>
      <c r="B924" s="4">
        <v>2008</v>
      </c>
      <c r="C924" s="4" t="s">
        <v>9</v>
      </c>
      <c r="D924" s="9">
        <v>14</v>
      </c>
      <c r="E924" s="10" t="s">
        <v>260</v>
      </c>
      <c r="F924" s="4">
        <v>10</v>
      </c>
      <c r="G924" s="4" t="s">
        <v>2094</v>
      </c>
      <c r="H924" s="4" t="s">
        <v>2095</v>
      </c>
    </row>
    <row r="925" spans="1:8" ht="15.5" x14ac:dyDescent="0.35">
      <c r="A925" s="4" t="s">
        <v>2075</v>
      </c>
      <c r="B925" s="4">
        <v>2014</v>
      </c>
      <c r="C925" s="4" t="s">
        <v>9</v>
      </c>
      <c r="D925" s="9">
        <v>62</v>
      </c>
      <c r="E925" s="10" t="s">
        <v>246</v>
      </c>
      <c r="F925" s="4">
        <v>9</v>
      </c>
      <c r="G925" s="4" t="s">
        <v>2096</v>
      </c>
      <c r="H925" s="4" t="s">
        <v>2097</v>
      </c>
    </row>
    <row r="926" spans="1:8" ht="15.5" x14ac:dyDescent="0.35">
      <c r="A926" s="4" t="s">
        <v>2075</v>
      </c>
      <c r="B926" s="4">
        <v>2015</v>
      </c>
      <c r="C926" s="4" t="s">
        <v>9</v>
      </c>
      <c r="D926" s="9">
        <v>10</v>
      </c>
      <c r="E926" s="10" t="s">
        <v>2098</v>
      </c>
      <c r="F926" s="4">
        <v>18</v>
      </c>
      <c r="G926" s="4" t="s">
        <v>2099</v>
      </c>
      <c r="H926" s="4" t="s">
        <v>2100</v>
      </c>
    </row>
    <row r="927" spans="1:8" ht="15.5" x14ac:dyDescent="0.35">
      <c r="A927" s="4" t="s">
        <v>2075</v>
      </c>
      <c r="B927" s="4">
        <v>2016</v>
      </c>
      <c r="C927" s="4" t="s">
        <v>9</v>
      </c>
      <c r="D927" s="9">
        <v>229</v>
      </c>
      <c r="E927" s="10" t="s">
        <v>249</v>
      </c>
      <c r="F927" s="4">
        <v>12</v>
      </c>
      <c r="G927" s="4" t="s">
        <v>2101</v>
      </c>
      <c r="H927" s="4" t="s">
        <v>2102</v>
      </c>
    </row>
    <row r="928" spans="1:8" ht="15.5" x14ac:dyDescent="0.35">
      <c r="A928" s="4" t="s">
        <v>2075</v>
      </c>
      <c r="B928" s="4">
        <v>2017</v>
      </c>
      <c r="C928" s="4" t="s">
        <v>9</v>
      </c>
      <c r="D928" s="9">
        <v>64</v>
      </c>
      <c r="E928" s="10" t="s">
        <v>238</v>
      </c>
      <c r="F928" s="4">
        <v>2</v>
      </c>
      <c r="G928" s="4" t="s">
        <v>2103</v>
      </c>
      <c r="H928" s="4" t="s">
        <v>2104</v>
      </c>
    </row>
    <row r="929" spans="1:8" ht="15.5" x14ac:dyDescent="0.35">
      <c r="A929" s="4" t="s">
        <v>2075</v>
      </c>
      <c r="B929" s="4">
        <v>2022</v>
      </c>
      <c r="C929" s="4" t="s">
        <v>9</v>
      </c>
      <c r="D929" s="9">
        <v>151</v>
      </c>
      <c r="E929" s="10" t="s">
        <v>704</v>
      </c>
      <c r="F929" s="4">
        <v>23</v>
      </c>
      <c r="G929" s="4" t="s">
        <v>2105</v>
      </c>
      <c r="H929" s="4" t="s">
        <v>2106</v>
      </c>
    </row>
    <row r="930" spans="1:8" ht="15.5" x14ac:dyDescent="0.35">
      <c r="A930" s="4" t="s">
        <v>2107</v>
      </c>
      <c r="B930" s="4">
        <v>1964</v>
      </c>
      <c r="C930" s="4"/>
      <c r="D930" s="9">
        <v>0</v>
      </c>
      <c r="E930" s="10" t="s">
        <v>105</v>
      </c>
      <c r="F930" s="4">
        <v>11</v>
      </c>
      <c r="G930" s="4" t="s">
        <v>2108</v>
      </c>
      <c r="H930" s="4" t="s">
        <v>2109</v>
      </c>
    </row>
    <row r="931" spans="1:8" ht="15.5" x14ac:dyDescent="0.35">
      <c r="A931" s="4" t="s">
        <v>2107</v>
      </c>
      <c r="B931" s="4">
        <v>1965</v>
      </c>
      <c r="C931" s="4"/>
      <c r="D931" s="9">
        <v>1</v>
      </c>
      <c r="E931" s="10" t="s">
        <v>1145</v>
      </c>
      <c r="F931" s="4">
        <v>12</v>
      </c>
      <c r="G931" s="4" t="s">
        <v>2110</v>
      </c>
      <c r="H931" s="4" t="s">
        <v>2111</v>
      </c>
    </row>
    <row r="932" spans="1:8" ht="15.5" x14ac:dyDescent="0.35">
      <c r="A932" s="4" t="s">
        <v>2107</v>
      </c>
      <c r="B932" s="4">
        <v>1966</v>
      </c>
      <c r="C932" s="4"/>
      <c r="D932" s="9">
        <v>6</v>
      </c>
      <c r="E932" s="10" t="s">
        <v>1145</v>
      </c>
      <c r="F932" s="4">
        <v>8</v>
      </c>
      <c r="G932" s="4" t="s">
        <v>2112</v>
      </c>
      <c r="H932" s="4" t="s">
        <v>2113</v>
      </c>
    </row>
    <row r="933" spans="1:8" ht="15.5" x14ac:dyDescent="0.35">
      <c r="A933" s="4" t="s">
        <v>2107</v>
      </c>
      <c r="B933" s="4">
        <v>1967</v>
      </c>
      <c r="C933" s="4"/>
      <c r="D933" s="9">
        <v>3</v>
      </c>
      <c r="E933" s="10" t="s">
        <v>750</v>
      </c>
      <c r="F933" s="4">
        <v>5</v>
      </c>
      <c r="G933" s="4" t="s">
        <v>2114</v>
      </c>
      <c r="H933" s="4" t="s">
        <v>2115</v>
      </c>
    </row>
    <row r="934" spans="1:8" ht="15.5" x14ac:dyDescent="0.35">
      <c r="A934" s="4" t="s">
        <v>2107</v>
      </c>
      <c r="B934" s="4">
        <v>1968</v>
      </c>
      <c r="C934" s="4"/>
      <c r="D934" s="9">
        <v>5</v>
      </c>
      <c r="E934" s="10" t="s">
        <v>1142</v>
      </c>
      <c r="F934" s="4">
        <v>1</v>
      </c>
      <c r="G934" s="4" t="s">
        <v>2116</v>
      </c>
      <c r="H934" s="4" t="s">
        <v>2117</v>
      </c>
    </row>
    <row r="935" spans="1:8" ht="15.5" x14ac:dyDescent="0.35">
      <c r="A935" s="4" t="s">
        <v>2107</v>
      </c>
      <c r="B935" s="4">
        <v>1969</v>
      </c>
      <c r="C935" s="4"/>
      <c r="D935" s="9">
        <v>4</v>
      </c>
      <c r="E935" s="10" t="s">
        <v>102</v>
      </c>
      <c r="F935" s="4">
        <v>15</v>
      </c>
      <c r="G935" s="4" t="s">
        <v>2118</v>
      </c>
      <c r="H935" s="4" t="s">
        <v>2119</v>
      </c>
    </row>
    <row r="936" spans="1:8" ht="15.5" x14ac:dyDescent="0.35">
      <c r="A936" s="4" t="s">
        <v>2107</v>
      </c>
      <c r="B936" s="4">
        <v>1971</v>
      </c>
      <c r="C936" s="4"/>
      <c r="D936" s="9">
        <v>83</v>
      </c>
      <c r="E936" s="10" t="s">
        <v>147</v>
      </c>
      <c r="F936" s="4">
        <v>15</v>
      </c>
      <c r="G936" s="4" t="s">
        <v>2120</v>
      </c>
      <c r="H936" s="4" t="s">
        <v>2121</v>
      </c>
    </row>
    <row r="937" spans="1:8" ht="15.5" x14ac:dyDescent="0.35">
      <c r="A937" s="4" t="s">
        <v>2107</v>
      </c>
      <c r="B937" s="4">
        <v>1972</v>
      </c>
      <c r="C937" s="4"/>
      <c r="D937" s="9">
        <v>90</v>
      </c>
      <c r="E937" s="10" t="s">
        <v>321</v>
      </c>
      <c r="F937" s="4">
        <v>7</v>
      </c>
      <c r="G937" s="4" t="s">
        <v>2116</v>
      </c>
      <c r="H937" s="4" t="s">
        <v>2122</v>
      </c>
    </row>
    <row r="938" spans="1:8" ht="15.5" x14ac:dyDescent="0.35">
      <c r="A938" s="4" t="s">
        <v>2107</v>
      </c>
      <c r="B938" s="4">
        <v>1973</v>
      </c>
      <c r="C938" s="4"/>
      <c r="D938" s="9">
        <v>80</v>
      </c>
      <c r="E938" s="10" t="s">
        <v>1335</v>
      </c>
      <c r="F938" s="4">
        <v>3</v>
      </c>
      <c r="G938" s="4" t="s">
        <v>2123</v>
      </c>
      <c r="H938" s="4" t="s">
        <v>2124</v>
      </c>
    </row>
    <row r="939" spans="1:8" ht="15.5" x14ac:dyDescent="0.35">
      <c r="A939" s="4" t="s">
        <v>2107</v>
      </c>
      <c r="B939" s="4">
        <v>1974</v>
      </c>
      <c r="C939" s="4"/>
      <c r="D939" s="9">
        <v>3</v>
      </c>
      <c r="E939" s="10" t="s">
        <v>118</v>
      </c>
      <c r="F939" s="4">
        <v>16</v>
      </c>
      <c r="G939" s="4" t="s">
        <v>2125</v>
      </c>
      <c r="H939" s="4" t="s">
        <v>2126</v>
      </c>
    </row>
    <row r="940" spans="1:8" ht="15.5" x14ac:dyDescent="0.35">
      <c r="A940" s="4" t="s">
        <v>2107</v>
      </c>
      <c r="B940" s="4">
        <v>1975</v>
      </c>
      <c r="C940" s="4"/>
      <c r="D940" s="9">
        <v>16</v>
      </c>
      <c r="E940" s="10" t="s">
        <v>518</v>
      </c>
      <c r="F940" s="4">
        <v>16</v>
      </c>
      <c r="G940" s="4" t="s">
        <v>2127</v>
      </c>
      <c r="H940" s="4" t="s">
        <v>2128</v>
      </c>
    </row>
    <row r="941" spans="1:8" ht="15.5" x14ac:dyDescent="0.35">
      <c r="A941" s="4" t="s">
        <v>2107</v>
      </c>
      <c r="B941" s="4">
        <v>1976</v>
      </c>
      <c r="C941" s="4"/>
      <c r="D941" s="9">
        <v>24</v>
      </c>
      <c r="E941" s="10" t="s">
        <v>761</v>
      </c>
      <c r="F941" s="4">
        <v>15</v>
      </c>
      <c r="G941" s="4" t="s">
        <v>2129</v>
      </c>
      <c r="H941" s="4" t="s">
        <v>2130</v>
      </c>
    </row>
    <row r="942" spans="1:8" ht="15.5" x14ac:dyDescent="0.35">
      <c r="A942" s="4" t="s">
        <v>2107</v>
      </c>
      <c r="B942" s="4">
        <v>1977</v>
      </c>
      <c r="C942" s="4"/>
      <c r="D942" s="9">
        <v>18</v>
      </c>
      <c r="E942" s="10" t="s">
        <v>304</v>
      </c>
      <c r="F942" s="4">
        <v>8</v>
      </c>
      <c r="G942" s="4" t="s">
        <v>2131</v>
      </c>
      <c r="H942" s="4" t="s">
        <v>2132</v>
      </c>
    </row>
    <row r="943" spans="1:8" ht="15.5" x14ac:dyDescent="0.35">
      <c r="A943" s="4" t="s">
        <v>2107</v>
      </c>
      <c r="B943" s="4">
        <v>1978</v>
      </c>
      <c r="C943" s="4"/>
      <c r="D943" s="9">
        <v>5</v>
      </c>
      <c r="E943" s="10" t="s">
        <v>144</v>
      </c>
      <c r="F943" s="4">
        <v>5</v>
      </c>
      <c r="G943" s="4" t="s">
        <v>2133</v>
      </c>
      <c r="H943" s="4" t="s">
        <v>2134</v>
      </c>
    </row>
    <row r="944" spans="1:8" ht="15.5" x14ac:dyDescent="0.35">
      <c r="A944" s="4" t="s">
        <v>2107</v>
      </c>
      <c r="B944" s="4">
        <v>1979</v>
      </c>
      <c r="C944" s="4"/>
      <c r="D944" s="9">
        <v>64</v>
      </c>
      <c r="E944" s="10" t="s">
        <v>789</v>
      </c>
      <c r="F944" s="4">
        <v>1</v>
      </c>
      <c r="G944" s="4" t="s">
        <v>2135</v>
      </c>
      <c r="H944" s="4" t="s">
        <v>2136</v>
      </c>
    </row>
    <row r="945" spans="1:8" ht="15.5" x14ac:dyDescent="0.35">
      <c r="A945" s="4" t="s">
        <v>2107</v>
      </c>
      <c r="B945" s="4">
        <v>1980</v>
      </c>
      <c r="C945" s="4"/>
      <c r="D945" s="9">
        <v>71</v>
      </c>
      <c r="E945" s="10" t="s">
        <v>768</v>
      </c>
      <c r="F945" s="4">
        <v>14</v>
      </c>
      <c r="G945" s="4" t="s">
        <v>2137</v>
      </c>
      <c r="H945" s="4" t="s">
        <v>2138</v>
      </c>
    </row>
    <row r="946" spans="1:8" ht="15.5" x14ac:dyDescent="0.35">
      <c r="A946" s="4" t="s">
        <v>2107</v>
      </c>
      <c r="B946" s="4">
        <v>1981</v>
      </c>
      <c r="C946" s="4"/>
      <c r="D946" s="9">
        <v>9</v>
      </c>
      <c r="E946" s="10" t="s">
        <v>158</v>
      </c>
      <c r="F946" s="4">
        <v>15</v>
      </c>
      <c r="G946" s="4" t="s">
        <v>2139</v>
      </c>
      <c r="H946" s="4" t="s">
        <v>2140</v>
      </c>
    </row>
    <row r="947" spans="1:8" ht="15.5" x14ac:dyDescent="0.35">
      <c r="A947" s="4" t="s">
        <v>2107</v>
      </c>
      <c r="B947" s="4">
        <v>1982</v>
      </c>
      <c r="C947" s="4"/>
      <c r="D947" s="9">
        <v>32</v>
      </c>
      <c r="E947" s="10" t="s">
        <v>1145</v>
      </c>
      <c r="F947" s="4">
        <v>1</v>
      </c>
      <c r="G947" s="4" t="s">
        <v>2141</v>
      </c>
      <c r="H947" s="4" t="s">
        <v>2142</v>
      </c>
    </row>
    <row r="948" spans="1:8" ht="15.5" x14ac:dyDescent="0.35">
      <c r="A948" s="4" t="s">
        <v>2107</v>
      </c>
      <c r="B948" s="4">
        <v>1983</v>
      </c>
      <c r="C948" s="4"/>
      <c r="D948" s="9">
        <v>33</v>
      </c>
      <c r="E948" s="10" t="s">
        <v>331</v>
      </c>
      <c r="F948" s="4">
        <v>17</v>
      </c>
      <c r="G948" s="4" t="s">
        <v>2143</v>
      </c>
      <c r="H948" s="4" t="s">
        <v>2144</v>
      </c>
    </row>
    <row r="949" spans="1:8" ht="15.5" x14ac:dyDescent="0.35">
      <c r="A949" s="4" t="s">
        <v>2107</v>
      </c>
      <c r="B949" s="4">
        <v>1984</v>
      </c>
      <c r="C949" s="4"/>
      <c r="D949" s="9">
        <v>38</v>
      </c>
      <c r="E949" s="10" t="s">
        <v>636</v>
      </c>
      <c r="F949" s="4">
        <v>19</v>
      </c>
      <c r="G949" s="4" t="s">
        <v>2145</v>
      </c>
      <c r="H949" s="4" t="s">
        <v>2146</v>
      </c>
    </row>
    <row r="950" spans="1:8" ht="15.5" x14ac:dyDescent="0.35">
      <c r="A950" s="4" t="s">
        <v>2107</v>
      </c>
      <c r="B950" s="4">
        <v>1985</v>
      </c>
      <c r="C950" s="4"/>
      <c r="D950" s="9">
        <v>9</v>
      </c>
      <c r="E950" s="10" t="s">
        <v>138</v>
      </c>
      <c r="F950" s="4">
        <v>9</v>
      </c>
      <c r="G950" s="4" t="s">
        <v>2147</v>
      </c>
      <c r="H950" s="4" t="s">
        <v>2148</v>
      </c>
    </row>
    <row r="951" spans="1:8" ht="15.5" x14ac:dyDescent="0.35">
      <c r="A951" s="4" t="s">
        <v>2107</v>
      </c>
      <c r="B951" s="4">
        <v>1986</v>
      </c>
      <c r="C951" s="4"/>
      <c r="D951" s="9">
        <v>28</v>
      </c>
      <c r="E951" s="10" t="s">
        <v>1157</v>
      </c>
      <c r="F951" s="4">
        <v>20</v>
      </c>
      <c r="G951" s="4" t="s">
        <v>2149</v>
      </c>
      <c r="H951" s="4" t="s">
        <v>2150</v>
      </c>
    </row>
    <row r="952" spans="1:8" ht="15.5" x14ac:dyDescent="0.35">
      <c r="A952" s="4" t="s">
        <v>2107</v>
      </c>
      <c r="B952" s="4">
        <v>1987</v>
      </c>
      <c r="C952" s="4"/>
      <c r="D952" s="9">
        <v>15</v>
      </c>
      <c r="E952" s="10" t="s">
        <v>1079</v>
      </c>
      <c r="F952" s="4">
        <v>8</v>
      </c>
      <c r="G952" s="4" t="s">
        <v>2151</v>
      </c>
      <c r="H952" s="4" t="s">
        <v>2152</v>
      </c>
    </row>
    <row r="953" spans="1:8" ht="15.5" x14ac:dyDescent="0.35">
      <c r="A953" s="4" t="s">
        <v>2107</v>
      </c>
      <c r="B953" s="4">
        <v>1988</v>
      </c>
      <c r="C953" s="4"/>
      <c r="D953" s="9">
        <v>5</v>
      </c>
      <c r="E953" s="10" t="s">
        <v>349</v>
      </c>
      <c r="F953" s="4">
        <v>20</v>
      </c>
      <c r="G953" s="4" t="s">
        <v>2149</v>
      </c>
      <c r="H953" s="4" t="s">
        <v>2153</v>
      </c>
    </row>
    <row r="954" spans="1:8" ht="15.5" x14ac:dyDescent="0.35">
      <c r="A954" s="4" t="s">
        <v>2107</v>
      </c>
      <c r="B954" s="4">
        <v>1989</v>
      </c>
      <c r="C954" s="4"/>
      <c r="D954" s="9">
        <v>39</v>
      </c>
      <c r="E954" s="10" t="s">
        <v>358</v>
      </c>
      <c r="F954" s="4">
        <v>9</v>
      </c>
      <c r="G954" s="4" t="s">
        <v>2154</v>
      </c>
      <c r="H954" s="4" t="s">
        <v>2155</v>
      </c>
    </row>
    <row r="955" spans="1:8" ht="15.5" x14ac:dyDescent="0.35">
      <c r="A955" s="4" t="s">
        <v>2107</v>
      </c>
      <c r="B955" s="4">
        <v>1990</v>
      </c>
      <c r="C955" s="4"/>
      <c r="D955" s="9">
        <v>9</v>
      </c>
      <c r="E955" s="10" t="s">
        <v>161</v>
      </c>
      <c r="F955" s="4">
        <v>16</v>
      </c>
      <c r="G955" s="4" t="s">
        <v>2156</v>
      </c>
      <c r="H955" s="4" t="s">
        <v>2157</v>
      </c>
    </row>
    <row r="956" spans="1:8" ht="15.5" x14ac:dyDescent="0.35">
      <c r="A956" s="4" t="s">
        <v>2107</v>
      </c>
      <c r="B956" s="4">
        <v>1991</v>
      </c>
      <c r="C956" s="4"/>
      <c r="D956" s="9">
        <v>62</v>
      </c>
      <c r="E956" s="10" t="s">
        <v>647</v>
      </c>
      <c r="F956" s="4">
        <v>12</v>
      </c>
      <c r="G956" s="4" t="s">
        <v>2158</v>
      </c>
      <c r="H956" s="4" t="s">
        <v>2159</v>
      </c>
    </row>
    <row r="957" spans="1:8" ht="15.5" x14ac:dyDescent="0.35">
      <c r="A957" s="4" t="s">
        <v>2107</v>
      </c>
      <c r="B957" s="4">
        <v>1992</v>
      </c>
      <c r="C957" s="4"/>
      <c r="D957" s="9">
        <v>26</v>
      </c>
      <c r="E957" s="10" t="s">
        <v>1388</v>
      </c>
      <c r="F957" s="4">
        <v>8</v>
      </c>
      <c r="G957" s="4" t="s">
        <v>2160</v>
      </c>
      <c r="H957" s="4" t="s">
        <v>2161</v>
      </c>
    </row>
    <row r="958" spans="1:8" ht="15.5" x14ac:dyDescent="0.35">
      <c r="A958" s="4" t="s">
        <v>2107</v>
      </c>
      <c r="B958" s="4">
        <v>1993</v>
      </c>
      <c r="C958" s="4"/>
      <c r="D958" s="9">
        <v>60</v>
      </c>
      <c r="E958" s="10" t="s">
        <v>48</v>
      </c>
      <c r="F958" s="4">
        <v>11</v>
      </c>
      <c r="G958" s="4" t="s">
        <v>2162</v>
      </c>
      <c r="H958" s="4" t="s">
        <v>2163</v>
      </c>
    </row>
    <row r="959" spans="1:8" ht="15.5" x14ac:dyDescent="0.35">
      <c r="A959" s="4" t="s">
        <v>2107</v>
      </c>
      <c r="B959" s="4">
        <v>1994</v>
      </c>
      <c r="C959" s="4"/>
      <c r="D959" s="9">
        <v>73</v>
      </c>
      <c r="E959" s="10" t="s">
        <v>222</v>
      </c>
      <c r="F959" s="4">
        <v>8</v>
      </c>
      <c r="G959" s="4" t="s">
        <v>2164</v>
      </c>
      <c r="H959" s="4" t="s">
        <v>2165</v>
      </c>
    </row>
    <row r="960" spans="1:8" ht="15.5" x14ac:dyDescent="0.35">
      <c r="A960" s="4" t="s">
        <v>2107</v>
      </c>
      <c r="B960" s="4">
        <v>1995</v>
      </c>
      <c r="C960" s="4"/>
      <c r="D960" s="9">
        <v>5</v>
      </c>
      <c r="E960" s="10" t="s">
        <v>1393</v>
      </c>
      <c r="F960" s="4">
        <v>16</v>
      </c>
      <c r="G960" s="4" t="s">
        <v>2166</v>
      </c>
      <c r="H960" s="4" t="s">
        <v>2167</v>
      </c>
    </row>
    <row r="961" spans="1:8" ht="15.5" x14ac:dyDescent="0.35">
      <c r="A961" s="4" t="s">
        <v>2107</v>
      </c>
      <c r="B961" s="4">
        <v>1996</v>
      </c>
      <c r="C961" s="4"/>
      <c r="D961" s="9">
        <v>92</v>
      </c>
      <c r="E961" s="10" t="s">
        <v>470</v>
      </c>
      <c r="F961" s="4">
        <v>4</v>
      </c>
      <c r="G961" s="4" t="s">
        <v>2168</v>
      </c>
      <c r="H961" s="4" t="s">
        <v>2169</v>
      </c>
    </row>
    <row r="962" spans="1:8" ht="15.5" x14ac:dyDescent="0.35">
      <c r="A962" s="4" t="s">
        <v>2107</v>
      </c>
      <c r="B962" s="4">
        <v>1997</v>
      </c>
      <c r="C962" s="4"/>
      <c r="D962" s="9">
        <v>0</v>
      </c>
      <c r="E962" s="10" t="s">
        <v>260</v>
      </c>
      <c r="F962" s="4">
        <v>15</v>
      </c>
      <c r="G962" s="4" t="s">
        <v>2170</v>
      </c>
      <c r="H962" s="4" t="s">
        <v>2171</v>
      </c>
    </row>
    <row r="963" spans="1:8" ht="15.5" x14ac:dyDescent="0.35">
      <c r="A963" s="4" t="s">
        <v>2107</v>
      </c>
      <c r="B963" s="4">
        <v>1998</v>
      </c>
      <c r="C963" s="4"/>
      <c r="D963" s="9">
        <v>36</v>
      </c>
      <c r="E963" s="10" t="s">
        <v>704</v>
      </c>
      <c r="F963" s="4">
        <v>14</v>
      </c>
      <c r="G963" s="4" t="s">
        <v>2172</v>
      </c>
      <c r="H963" s="4" t="s">
        <v>2173</v>
      </c>
    </row>
    <row r="964" spans="1:8" ht="15.5" x14ac:dyDescent="0.35">
      <c r="A964" s="4" t="s">
        <v>2107</v>
      </c>
      <c r="B964" s="4">
        <v>1999</v>
      </c>
      <c r="C964" s="4"/>
      <c r="D964" s="9">
        <v>12</v>
      </c>
      <c r="E964" s="10" t="s">
        <v>1393</v>
      </c>
      <c r="F964" s="4">
        <v>16</v>
      </c>
      <c r="G964" s="4" t="s">
        <v>2174</v>
      </c>
      <c r="H964" s="4" t="s">
        <v>2175</v>
      </c>
    </row>
    <row r="965" spans="1:8" ht="15.5" x14ac:dyDescent="0.35">
      <c r="A965" s="4" t="s">
        <v>2107</v>
      </c>
      <c r="B965" s="4">
        <v>2001</v>
      </c>
      <c r="C965" s="4"/>
      <c r="D965" s="9">
        <v>18</v>
      </c>
      <c r="E965" s="10" t="s">
        <v>1388</v>
      </c>
      <c r="F965" s="4">
        <v>11</v>
      </c>
      <c r="G965" s="4" t="s">
        <v>2176</v>
      </c>
      <c r="H965" s="4" t="s">
        <v>2177</v>
      </c>
    </row>
    <row r="966" spans="1:8" ht="15.5" x14ac:dyDescent="0.35">
      <c r="A966" s="4" t="s">
        <v>2107</v>
      </c>
      <c r="B966" s="4">
        <v>2003</v>
      </c>
      <c r="C966" s="4"/>
      <c r="D966" s="9">
        <v>13</v>
      </c>
      <c r="E966" s="10" t="s">
        <v>238</v>
      </c>
      <c r="F966" s="4">
        <v>7</v>
      </c>
      <c r="G966" s="4" t="s">
        <v>2178</v>
      </c>
      <c r="H966" s="4" t="s">
        <v>2179</v>
      </c>
    </row>
    <row r="967" spans="1:8" ht="15.5" x14ac:dyDescent="0.35">
      <c r="A967" s="4" t="s">
        <v>2107</v>
      </c>
      <c r="B967" s="4">
        <v>2008</v>
      </c>
      <c r="C967" s="4" t="s">
        <v>9</v>
      </c>
      <c r="D967" s="9">
        <v>69</v>
      </c>
      <c r="E967" s="10" t="s">
        <v>678</v>
      </c>
      <c r="F967" s="4">
        <v>13</v>
      </c>
      <c r="G967" s="4" t="s">
        <v>2180</v>
      </c>
      <c r="H967" s="4" t="s">
        <v>2181</v>
      </c>
    </row>
    <row r="968" spans="1:8" ht="15.5" x14ac:dyDescent="0.35">
      <c r="A968" s="4" t="s">
        <v>2107</v>
      </c>
      <c r="B968" s="4">
        <v>2009</v>
      </c>
      <c r="C968" s="4" t="s">
        <v>9</v>
      </c>
      <c r="D968" s="9">
        <v>57</v>
      </c>
      <c r="E968" s="10" t="s">
        <v>86</v>
      </c>
      <c r="F968" s="4">
        <v>6</v>
      </c>
      <c r="G968" s="4" t="s">
        <v>2182</v>
      </c>
      <c r="H968" s="4" t="s">
        <v>2183</v>
      </c>
    </row>
    <row r="969" spans="1:8" ht="15.5" x14ac:dyDescent="0.35">
      <c r="A969" s="4" t="s">
        <v>2107</v>
      </c>
      <c r="B969" s="4">
        <v>2010</v>
      </c>
      <c r="C969" s="4" t="s">
        <v>9</v>
      </c>
      <c r="D969" s="9">
        <v>43</v>
      </c>
      <c r="E969" s="10" t="s">
        <v>203</v>
      </c>
      <c r="F969" s="4">
        <v>23</v>
      </c>
      <c r="G969" s="4" t="s">
        <v>2184</v>
      </c>
      <c r="H969" s="4" t="s">
        <v>2185</v>
      </c>
    </row>
    <row r="970" spans="1:8" ht="15.5" x14ac:dyDescent="0.35">
      <c r="A970" s="4" t="s">
        <v>2107</v>
      </c>
      <c r="B970" s="4">
        <v>2017</v>
      </c>
      <c r="C970" s="4" t="s">
        <v>9</v>
      </c>
      <c r="D970" s="9">
        <v>758</v>
      </c>
      <c r="E970" s="10" t="s">
        <v>206</v>
      </c>
      <c r="F970" s="4">
        <v>11</v>
      </c>
      <c r="G970" s="4" t="s">
        <v>2186</v>
      </c>
      <c r="H970" s="4" t="s">
        <v>2187</v>
      </c>
    </row>
    <row r="971" spans="1:8" ht="15.5" x14ac:dyDescent="0.35">
      <c r="A971" s="4" t="s">
        <v>2107</v>
      </c>
      <c r="B971" s="4">
        <v>2018</v>
      </c>
      <c r="C971" s="4" t="s">
        <v>9</v>
      </c>
      <c r="D971" s="9">
        <v>39</v>
      </c>
      <c r="E971" s="10" t="s">
        <v>972</v>
      </c>
      <c r="F971" s="4">
        <v>8</v>
      </c>
      <c r="G971" s="4" t="s">
        <v>2188</v>
      </c>
      <c r="H971" s="4" t="s">
        <v>2189</v>
      </c>
    </row>
    <row r="972" spans="1:8" ht="15.5" x14ac:dyDescent="0.35">
      <c r="A972" s="4" t="s">
        <v>2107</v>
      </c>
      <c r="B972" s="4">
        <v>2021</v>
      </c>
      <c r="C972" s="4" t="s">
        <v>9</v>
      </c>
      <c r="D972" s="9">
        <v>153</v>
      </c>
      <c r="E972" s="10" t="s">
        <v>391</v>
      </c>
      <c r="F972" s="4">
        <v>7</v>
      </c>
      <c r="G972" s="4" t="s">
        <v>2190</v>
      </c>
      <c r="H972" s="4" t="s">
        <v>2191</v>
      </c>
    </row>
    <row r="973" spans="1:8" ht="15.5" x14ac:dyDescent="0.35">
      <c r="A973" s="4" t="s">
        <v>2107</v>
      </c>
      <c r="B973" s="4">
        <v>2022</v>
      </c>
      <c r="C973" s="4" t="s">
        <v>9</v>
      </c>
      <c r="D973" s="9">
        <v>207</v>
      </c>
      <c r="E973" s="10" t="s">
        <v>444</v>
      </c>
      <c r="F973" s="4">
        <v>3</v>
      </c>
      <c r="G973" s="4" t="s">
        <v>2192</v>
      </c>
      <c r="H973" s="4" t="s">
        <v>2193</v>
      </c>
    </row>
    <row r="974" spans="1:8" ht="15.5" x14ac:dyDescent="0.35">
      <c r="A974" s="4" t="s">
        <v>2194</v>
      </c>
      <c r="B974" s="4">
        <v>1994</v>
      </c>
      <c r="C974" s="4"/>
      <c r="D974" s="9">
        <v>14</v>
      </c>
      <c r="E974" s="10" t="s">
        <v>186</v>
      </c>
      <c r="F974" s="4">
        <v>11</v>
      </c>
      <c r="G974" s="4" t="s">
        <v>2195</v>
      </c>
      <c r="H974" s="4" t="s">
        <v>2196</v>
      </c>
    </row>
    <row r="975" spans="1:8" ht="15.5" x14ac:dyDescent="0.35">
      <c r="A975" s="4" t="s">
        <v>2194</v>
      </c>
      <c r="B975" s="4">
        <v>1998</v>
      </c>
      <c r="C975" s="4"/>
      <c r="D975" s="9">
        <v>6</v>
      </c>
      <c r="E975" s="10" t="s">
        <v>588</v>
      </c>
      <c r="F975" s="4">
        <v>15</v>
      </c>
      <c r="G975" s="4" t="s">
        <v>2197</v>
      </c>
      <c r="H975" s="4" t="s">
        <v>2198</v>
      </c>
    </row>
    <row r="976" spans="1:8" ht="15.5" x14ac:dyDescent="0.35">
      <c r="A976" s="4" t="s">
        <v>2194</v>
      </c>
      <c r="B976" s="4">
        <v>2000</v>
      </c>
      <c r="C976" s="4"/>
      <c r="D976" s="9">
        <v>25</v>
      </c>
      <c r="E976" s="10" t="s">
        <v>826</v>
      </c>
      <c r="F976" s="4">
        <v>6</v>
      </c>
      <c r="G976" s="4" t="s">
        <v>2199</v>
      </c>
      <c r="H976" s="4" t="s">
        <v>2200</v>
      </c>
    </row>
    <row r="977" spans="1:8" ht="15.5" x14ac:dyDescent="0.35">
      <c r="A977" s="4" t="s">
        <v>2194</v>
      </c>
      <c r="B977" s="4">
        <v>2002</v>
      </c>
      <c r="C977" s="4"/>
      <c r="D977" s="9">
        <v>71</v>
      </c>
      <c r="E977" s="10" t="s">
        <v>431</v>
      </c>
      <c r="F977" s="4">
        <v>21</v>
      </c>
      <c r="G977" s="4" t="s">
        <v>2201</v>
      </c>
      <c r="H977" s="4" t="s">
        <v>2202</v>
      </c>
    </row>
    <row r="978" spans="1:8" ht="15.5" x14ac:dyDescent="0.35">
      <c r="A978" s="4" t="s">
        <v>2194</v>
      </c>
      <c r="B978" s="4">
        <v>2003</v>
      </c>
      <c r="C978" s="4"/>
      <c r="D978" s="9">
        <v>73</v>
      </c>
      <c r="E978" s="10" t="s">
        <v>397</v>
      </c>
      <c r="F978" s="4">
        <v>24</v>
      </c>
      <c r="G978" s="4" t="s">
        <v>2203</v>
      </c>
      <c r="H978" s="4" t="s">
        <v>2204</v>
      </c>
    </row>
    <row r="979" spans="1:8" ht="15.5" x14ac:dyDescent="0.35">
      <c r="A979" s="4" t="s">
        <v>2194</v>
      </c>
      <c r="B979" s="4">
        <v>2004</v>
      </c>
      <c r="C979" s="4" t="s">
        <v>9</v>
      </c>
      <c r="D979" s="9">
        <v>18</v>
      </c>
      <c r="E979" s="10" t="s">
        <v>194</v>
      </c>
      <c r="F979" s="4">
        <v>23</v>
      </c>
      <c r="G979" s="4" t="s">
        <v>2205</v>
      </c>
      <c r="H979" s="4" t="s">
        <v>2206</v>
      </c>
    </row>
    <row r="980" spans="1:8" ht="15.5" x14ac:dyDescent="0.35">
      <c r="A980" s="4" t="s">
        <v>2194</v>
      </c>
      <c r="B980" s="4">
        <v>2005</v>
      </c>
      <c r="C980" s="4" t="s">
        <v>9</v>
      </c>
      <c r="D980" s="9">
        <v>158</v>
      </c>
      <c r="E980" s="10" t="s">
        <v>436</v>
      </c>
      <c r="F980" s="4">
        <v>4</v>
      </c>
      <c r="G980" s="4" t="s">
        <v>2207</v>
      </c>
      <c r="H980" s="4" t="s">
        <v>2208</v>
      </c>
    </row>
    <row r="981" spans="1:8" ht="15.5" x14ac:dyDescent="0.35">
      <c r="A981" s="4" t="s">
        <v>2194</v>
      </c>
      <c r="B981" s="4">
        <v>2006</v>
      </c>
      <c r="C981" s="4" t="s">
        <v>9</v>
      </c>
      <c r="D981" s="9">
        <v>172</v>
      </c>
      <c r="E981" s="10" t="s">
        <v>709</v>
      </c>
      <c r="F981" s="4">
        <v>12</v>
      </c>
      <c r="G981" s="4" t="s">
        <v>2209</v>
      </c>
      <c r="H981" s="4" t="s">
        <v>2210</v>
      </c>
    </row>
    <row r="982" spans="1:8" ht="15.5" x14ac:dyDescent="0.35">
      <c r="A982" s="4" t="s">
        <v>2194</v>
      </c>
      <c r="B982" s="4">
        <v>2007</v>
      </c>
      <c r="C982" s="4" t="s">
        <v>9</v>
      </c>
      <c r="D982" s="9">
        <v>84</v>
      </c>
      <c r="E982" s="10" t="s">
        <v>381</v>
      </c>
      <c r="F982" s="4">
        <v>20</v>
      </c>
      <c r="G982" s="4" t="s">
        <v>2211</v>
      </c>
      <c r="H982" s="4" t="s">
        <v>2212</v>
      </c>
    </row>
    <row r="983" spans="1:8" ht="15.5" x14ac:dyDescent="0.35">
      <c r="A983" s="4" t="s">
        <v>2194</v>
      </c>
      <c r="B983" s="4">
        <v>2008</v>
      </c>
      <c r="C983" s="4" t="s">
        <v>9</v>
      </c>
      <c r="D983" s="9">
        <v>45</v>
      </c>
      <c r="E983" s="10" t="s">
        <v>68</v>
      </c>
      <c r="F983" s="4">
        <v>1</v>
      </c>
      <c r="G983" s="4" t="s">
        <v>2213</v>
      </c>
      <c r="H983" s="4" t="s">
        <v>2214</v>
      </c>
    </row>
    <row r="984" spans="1:8" ht="15.5" x14ac:dyDescent="0.35">
      <c r="A984" s="4" t="s">
        <v>2194</v>
      </c>
      <c r="B984" s="4">
        <v>2009</v>
      </c>
      <c r="C984" s="4" t="s">
        <v>9</v>
      </c>
      <c r="D984" s="9">
        <v>40</v>
      </c>
      <c r="E984" s="10" t="s">
        <v>405</v>
      </c>
      <c r="F984" s="4">
        <v>22</v>
      </c>
      <c r="G984" s="4" t="s">
        <v>2215</v>
      </c>
      <c r="H984" s="4" t="s">
        <v>2216</v>
      </c>
    </row>
    <row r="985" spans="1:8" ht="15.5" x14ac:dyDescent="0.35">
      <c r="A985" s="4" t="s">
        <v>2194</v>
      </c>
      <c r="B985" s="4">
        <v>2010</v>
      </c>
      <c r="C985" s="4" t="s">
        <v>9</v>
      </c>
      <c r="D985" s="9">
        <v>162</v>
      </c>
      <c r="E985" s="10" t="s">
        <v>225</v>
      </c>
      <c r="F985" s="4">
        <v>19</v>
      </c>
      <c r="G985" s="4" t="s">
        <v>2217</v>
      </c>
      <c r="H985" s="4" t="s">
        <v>2218</v>
      </c>
    </row>
    <row r="986" spans="1:8" ht="15.5" x14ac:dyDescent="0.35">
      <c r="A986" s="4" t="s">
        <v>2194</v>
      </c>
      <c r="B986" s="4">
        <v>2011</v>
      </c>
      <c r="C986" s="4" t="s">
        <v>9</v>
      </c>
      <c r="D986" s="9">
        <v>77</v>
      </c>
      <c r="E986" s="10" t="s">
        <v>16</v>
      </c>
      <c r="F986" s="4">
        <v>17</v>
      </c>
      <c r="G986" s="4" t="s">
        <v>2219</v>
      </c>
      <c r="H986" s="4" t="s">
        <v>2220</v>
      </c>
    </row>
    <row r="987" spans="1:8" ht="15.5" x14ac:dyDescent="0.35">
      <c r="A987" s="4" t="s">
        <v>2194</v>
      </c>
      <c r="B987" s="4">
        <v>2012</v>
      </c>
      <c r="C987" s="4" t="s">
        <v>9</v>
      </c>
      <c r="D987" s="9">
        <v>71</v>
      </c>
      <c r="E987" s="10" t="s">
        <v>391</v>
      </c>
      <c r="F987" s="4">
        <v>14</v>
      </c>
      <c r="G987" s="4" t="s">
        <v>2221</v>
      </c>
      <c r="H987" s="4" t="s">
        <v>2222</v>
      </c>
    </row>
    <row r="988" spans="1:8" ht="15.5" x14ac:dyDescent="0.35">
      <c r="A988" s="4" t="s">
        <v>2194</v>
      </c>
      <c r="B988" s="4">
        <v>2013</v>
      </c>
      <c r="C988" s="4" t="s">
        <v>9</v>
      </c>
      <c r="D988" s="9">
        <v>65</v>
      </c>
      <c r="E988" s="10" t="s">
        <v>212</v>
      </c>
      <c r="F988" s="4">
        <v>14</v>
      </c>
      <c r="G988" s="4" t="s">
        <v>2223</v>
      </c>
      <c r="H988" s="4" t="s">
        <v>2224</v>
      </c>
    </row>
    <row r="989" spans="1:8" ht="15.5" x14ac:dyDescent="0.35">
      <c r="A989" s="4" t="s">
        <v>2194</v>
      </c>
      <c r="B989" s="4">
        <v>2014</v>
      </c>
      <c r="C989" s="4" t="s">
        <v>9</v>
      </c>
      <c r="D989" s="9">
        <v>72</v>
      </c>
      <c r="E989" s="10" t="s">
        <v>391</v>
      </c>
      <c r="F989" s="4">
        <v>6</v>
      </c>
      <c r="G989" s="4" t="s">
        <v>2225</v>
      </c>
      <c r="H989" s="4" t="s">
        <v>245</v>
      </c>
    </row>
    <row r="990" spans="1:8" ht="15.5" x14ac:dyDescent="0.35">
      <c r="A990" s="4" t="s">
        <v>2194</v>
      </c>
      <c r="B990" s="4">
        <v>2015</v>
      </c>
      <c r="C990" s="4" t="s">
        <v>9</v>
      </c>
      <c r="D990" s="9">
        <v>35</v>
      </c>
      <c r="E990" s="10" t="s">
        <v>2226</v>
      </c>
      <c r="F990" s="4">
        <v>20</v>
      </c>
      <c r="G990" s="4" t="s">
        <v>2227</v>
      </c>
      <c r="H990" s="4" t="s">
        <v>2228</v>
      </c>
    </row>
    <row r="991" spans="1:8" ht="15.5" x14ac:dyDescent="0.35">
      <c r="A991" s="4" t="s">
        <v>2194</v>
      </c>
      <c r="B991" s="4">
        <v>2017</v>
      </c>
      <c r="C991" s="4" t="s">
        <v>9</v>
      </c>
      <c r="D991" s="9">
        <v>282</v>
      </c>
      <c r="E991" s="10" t="s">
        <v>63</v>
      </c>
      <c r="F991" s="4">
        <v>20</v>
      </c>
      <c r="G991" s="4" t="s">
        <v>2229</v>
      </c>
      <c r="H991" s="4" t="s">
        <v>2230</v>
      </c>
    </row>
    <row r="992" spans="1:8" ht="15.5" x14ac:dyDescent="0.35">
      <c r="A992" s="4" t="s">
        <v>2194</v>
      </c>
      <c r="B992" s="4">
        <v>2022</v>
      </c>
      <c r="C992" s="4" t="s">
        <v>9</v>
      </c>
      <c r="D992" s="9">
        <v>65</v>
      </c>
      <c r="E992" s="10" t="s">
        <v>203</v>
      </c>
      <c r="F992" s="4">
        <v>2</v>
      </c>
      <c r="G992" s="4" t="s">
        <v>2231</v>
      </c>
      <c r="H992" s="4" t="s">
        <v>2232</v>
      </c>
    </row>
    <row r="993" spans="1:8" ht="15.5" x14ac:dyDescent="0.35">
      <c r="A993" s="4" t="s">
        <v>2233</v>
      </c>
      <c r="B993" s="4">
        <v>1994</v>
      </c>
      <c r="C993" s="4"/>
      <c r="D993" s="9">
        <v>70</v>
      </c>
      <c r="E993" s="10" t="s">
        <v>444</v>
      </c>
      <c r="F993" s="4">
        <v>23</v>
      </c>
      <c r="G993" s="4" t="s">
        <v>2234</v>
      </c>
      <c r="H993" s="4" t="s">
        <v>2235</v>
      </c>
    </row>
    <row r="994" spans="1:8" ht="15.5" x14ac:dyDescent="0.35">
      <c r="A994" s="4" t="s">
        <v>2233</v>
      </c>
      <c r="B994" s="4">
        <v>1995</v>
      </c>
      <c r="C994" s="4"/>
      <c r="D994" s="9">
        <v>17</v>
      </c>
      <c r="E994" s="10" t="s">
        <v>1388</v>
      </c>
      <c r="F994" s="4">
        <v>6</v>
      </c>
      <c r="G994" s="4" t="s">
        <v>2236</v>
      </c>
      <c r="H994" s="4" t="s">
        <v>2237</v>
      </c>
    </row>
    <row r="995" spans="1:8" ht="15.5" x14ac:dyDescent="0.35">
      <c r="A995" s="4" t="s">
        <v>2233</v>
      </c>
      <c r="B995" s="4">
        <v>1997</v>
      </c>
      <c r="C995" s="4"/>
      <c r="D995" s="9">
        <v>33</v>
      </c>
      <c r="E995" s="10" t="s">
        <v>86</v>
      </c>
      <c r="F995" s="4">
        <v>20</v>
      </c>
      <c r="G995" s="4" t="s">
        <v>2238</v>
      </c>
      <c r="H995" s="4" t="s">
        <v>2239</v>
      </c>
    </row>
    <row r="996" spans="1:8" ht="15.5" x14ac:dyDescent="0.35">
      <c r="A996" s="4" t="s">
        <v>2233</v>
      </c>
      <c r="B996" s="4">
        <v>2000</v>
      </c>
      <c r="C996" s="4"/>
      <c r="D996" s="9">
        <v>155</v>
      </c>
      <c r="E996" s="10" t="s">
        <v>1761</v>
      </c>
      <c r="F996" s="4">
        <v>9</v>
      </c>
      <c r="G996" s="4" t="s">
        <v>2240</v>
      </c>
      <c r="H996" s="4" t="s">
        <v>2241</v>
      </c>
    </row>
    <row r="997" spans="1:8" ht="15.5" x14ac:dyDescent="0.35">
      <c r="A997" s="4" t="s">
        <v>2233</v>
      </c>
      <c r="B997" s="4">
        <v>2001</v>
      </c>
      <c r="C997" s="4"/>
      <c r="D997" s="9">
        <v>37</v>
      </c>
      <c r="E997" s="10" t="s">
        <v>375</v>
      </c>
      <c r="F997" s="4">
        <v>6</v>
      </c>
      <c r="G997" s="4" t="s">
        <v>2242</v>
      </c>
      <c r="H997" s="4" t="s">
        <v>2243</v>
      </c>
    </row>
    <row r="998" spans="1:8" ht="15.5" x14ac:dyDescent="0.35">
      <c r="A998" s="4" t="s">
        <v>2233</v>
      </c>
      <c r="B998" s="4">
        <v>2002</v>
      </c>
      <c r="C998" s="4"/>
      <c r="D998" s="9">
        <v>55</v>
      </c>
      <c r="E998" s="10" t="s">
        <v>1399</v>
      </c>
      <c r="F998" s="4">
        <v>7</v>
      </c>
      <c r="G998" s="4" t="s">
        <v>2244</v>
      </c>
      <c r="H998" s="4" t="s">
        <v>2245</v>
      </c>
    </row>
    <row r="999" spans="1:8" ht="15.5" x14ac:dyDescent="0.35">
      <c r="A999" s="4" t="s">
        <v>2233</v>
      </c>
      <c r="B999" s="4">
        <v>2003</v>
      </c>
      <c r="C999" s="4"/>
      <c r="D999" s="9">
        <v>164</v>
      </c>
      <c r="E999" s="10" t="s">
        <v>218</v>
      </c>
      <c r="F999" s="4">
        <v>11</v>
      </c>
      <c r="G999" s="4" t="s">
        <v>2246</v>
      </c>
      <c r="H999" s="4" t="s">
        <v>2247</v>
      </c>
    </row>
    <row r="1000" spans="1:8" ht="15.5" x14ac:dyDescent="0.35">
      <c r="A1000" s="4" t="s">
        <v>2233</v>
      </c>
      <c r="B1000" s="4">
        <v>2004</v>
      </c>
      <c r="C1000" s="4" t="s">
        <v>9</v>
      </c>
      <c r="D1000" s="9">
        <v>67</v>
      </c>
      <c r="E1000" s="10" t="s">
        <v>439</v>
      </c>
      <c r="F1000" s="4">
        <v>14</v>
      </c>
      <c r="G1000" s="4" t="s">
        <v>2248</v>
      </c>
      <c r="H1000" s="4" t="s">
        <v>2249</v>
      </c>
    </row>
    <row r="1001" spans="1:8" ht="15.5" x14ac:dyDescent="0.35">
      <c r="A1001" s="4" t="s">
        <v>2233</v>
      </c>
      <c r="B1001" s="4">
        <v>2005</v>
      </c>
      <c r="C1001" s="4" t="s">
        <v>9</v>
      </c>
      <c r="D1001" s="9">
        <v>57</v>
      </c>
      <c r="E1001" s="10" t="s">
        <v>951</v>
      </c>
      <c r="F1001" s="4">
        <v>20</v>
      </c>
      <c r="G1001" s="4" t="s">
        <v>2250</v>
      </c>
      <c r="H1001" s="4" t="s">
        <v>2251</v>
      </c>
    </row>
    <row r="1002" spans="1:8" ht="15.5" x14ac:dyDescent="0.35">
      <c r="A1002" s="4" t="s">
        <v>2233</v>
      </c>
      <c r="B1002" s="4">
        <v>2006</v>
      </c>
      <c r="C1002" s="4" t="s">
        <v>9</v>
      </c>
      <c r="D1002" s="9">
        <v>248</v>
      </c>
      <c r="E1002" s="10" t="s">
        <v>1761</v>
      </c>
      <c r="F1002" s="4">
        <v>10</v>
      </c>
      <c r="G1002" s="4" t="s">
        <v>2252</v>
      </c>
      <c r="H1002" s="4" t="s">
        <v>1193</v>
      </c>
    </row>
    <row r="1003" spans="1:8" ht="15.5" x14ac:dyDescent="0.35">
      <c r="A1003" s="4" t="s">
        <v>2233</v>
      </c>
      <c r="B1003" s="4">
        <v>2007</v>
      </c>
      <c r="C1003" s="4" t="s">
        <v>9</v>
      </c>
      <c r="D1003" s="9">
        <v>207</v>
      </c>
      <c r="E1003" s="10" t="s">
        <v>436</v>
      </c>
      <c r="F1003" s="4">
        <v>15</v>
      </c>
      <c r="G1003" s="4" t="s">
        <v>2253</v>
      </c>
      <c r="H1003" s="4" t="s">
        <v>2254</v>
      </c>
    </row>
    <row r="1004" spans="1:8" ht="15.5" x14ac:dyDescent="0.35">
      <c r="A1004" s="4" t="s">
        <v>2233</v>
      </c>
      <c r="B1004" s="4">
        <v>2008</v>
      </c>
      <c r="C1004" s="4" t="s">
        <v>9</v>
      </c>
      <c r="D1004" s="9">
        <v>272</v>
      </c>
      <c r="E1004" s="10" t="s">
        <v>231</v>
      </c>
      <c r="F1004" s="4">
        <v>24</v>
      </c>
      <c r="G1004" s="4" t="s">
        <v>2252</v>
      </c>
      <c r="H1004" s="4" t="s">
        <v>2255</v>
      </c>
    </row>
    <row r="1005" spans="1:8" ht="15.5" x14ac:dyDescent="0.35">
      <c r="A1005" s="4" t="s">
        <v>2233</v>
      </c>
      <c r="B1005" s="4">
        <v>2009</v>
      </c>
      <c r="C1005" s="4" t="s">
        <v>9</v>
      </c>
      <c r="D1005" s="9">
        <v>91</v>
      </c>
      <c r="E1005" s="10" t="s">
        <v>540</v>
      </c>
      <c r="F1005" s="4">
        <v>10</v>
      </c>
      <c r="G1005" s="4" t="s">
        <v>2256</v>
      </c>
      <c r="H1005" s="4" t="s">
        <v>2257</v>
      </c>
    </row>
    <row r="1006" spans="1:8" ht="15.5" x14ac:dyDescent="0.35">
      <c r="A1006" s="4" t="s">
        <v>2233</v>
      </c>
      <c r="B1006" s="4">
        <v>2010</v>
      </c>
      <c r="C1006" s="4" t="s">
        <v>9</v>
      </c>
      <c r="D1006" s="9">
        <v>90</v>
      </c>
      <c r="E1006" s="10" t="s">
        <v>540</v>
      </c>
      <c r="F1006" s="4">
        <v>20</v>
      </c>
      <c r="G1006" s="4" t="s">
        <v>2258</v>
      </c>
      <c r="H1006" s="4" t="s">
        <v>2259</v>
      </c>
    </row>
    <row r="1007" spans="1:8" ht="15.5" x14ac:dyDescent="0.35">
      <c r="A1007" s="4" t="s">
        <v>2233</v>
      </c>
      <c r="B1007" s="4">
        <v>2011</v>
      </c>
      <c r="C1007" s="4" t="s">
        <v>9</v>
      </c>
      <c r="D1007" s="9">
        <v>77</v>
      </c>
      <c r="E1007" s="10" t="s">
        <v>21</v>
      </c>
      <c r="F1007" s="4">
        <v>10</v>
      </c>
      <c r="G1007" s="4" t="s">
        <v>2260</v>
      </c>
      <c r="H1007" s="4" t="s">
        <v>2261</v>
      </c>
    </row>
    <row r="1008" spans="1:8" ht="15.5" x14ac:dyDescent="0.35">
      <c r="A1008" s="4" t="s">
        <v>2233</v>
      </c>
      <c r="B1008" s="4">
        <v>2012</v>
      </c>
      <c r="C1008" s="4" t="s">
        <v>9</v>
      </c>
      <c r="D1008" s="9">
        <v>259</v>
      </c>
      <c r="E1008" s="10" t="s">
        <v>75</v>
      </c>
      <c r="F1008" s="4">
        <v>6</v>
      </c>
      <c r="G1008" s="4" t="s">
        <v>2262</v>
      </c>
      <c r="H1008" s="4" t="s">
        <v>2263</v>
      </c>
    </row>
    <row r="1009" spans="1:8" ht="15.5" x14ac:dyDescent="0.35">
      <c r="A1009" s="4" t="s">
        <v>2233</v>
      </c>
      <c r="B1009" s="4">
        <v>2013</v>
      </c>
      <c r="C1009" s="4" t="s">
        <v>9</v>
      </c>
      <c r="D1009" s="9">
        <v>174</v>
      </c>
      <c r="E1009" s="10" t="s">
        <v>24</v>
      </c>
      <c r="F1009" s="4">
        <v>10</v>
      </c>
      <c r="G1009" s="4" t="s">
        <v>2264</v>
      </c>
      <c r="H1009" s="4" t="s">
        <v>2265</v>
      </c>
    </row>
    <row r="1010" spans="1:8" ht="15.5" x14ac:dyDescent="0.35">
      <c r="A1010" s="4" t="s">
        <v>2233</v>
      </c>
      <c r="B1010" s="4">
        <v>2014</v>
      </c>
      <c r="C1010" s="4" t="s">
        <v>9</v>
      </c>
      <c r="D1010" s="9">
        <v>89</v>
      </c>
      <c r="E1010" s="10" t="s">
        <v>63</v>
      </c>
      <c r="F1010" s="4">
        <v>15</v>
      </c>
      <c r="G1010" s="4" t="s">
        <v>2266</v>
      </c>
      <c r="H1010" s="4" t="s">
        <v>996</v>
      </c>
    </row>
    <row r="1011" spans="1:8" ht="15.5" x14ac:dyDescent="0.35">
      <c r="A1011" s="4" t="s">
        <v>2233</v>
      </c>
      <c r="B1011" s="4">
        <v>2015</v>
      </c>
      <c r="C1011" s="4" t="s">
        <v>9</v>
      </c>
      <c r="D1011" s="9">
        <v>303</v>
      </c>
      <c r="E1011" s="10" t="s">
        <v>2267</v>
      </c>
      <c r="F1011" s="4">
        <v>25</v>
      </c>
      <c r="G1011" s="4" t="s">
        <v>2268</v>
      </c>
      <c r="H1011" s="4" t="s">
        <v>2269</v>
      </c>
    </row>
    <row r="1012" spans="1:8" ht="15.5" x14ac:dyDescent="0.35">
      <c r="A1012" s="4" t="s">
        <v>2233</v>
      </c>
      <c r="B1012" s="4">
        <v>2016</v>
      </c>
      <c r="C1012" s="4" t="s">
        <v>9</v>
      </c>
      <c r="D1012" s="9">
        <v>491</v>
      </c>
      <c r="E1012" s="10" t="s">
        <v>218</v>
      </c>
      <c r="F1012" s="4">
        <v>18</v>
      </c>
      <c r="G1012" s="4" t="s">
        <v>2270</v>
      </c>
      <c r="H1012" s="4" t="s">
        <v>493</v>
      </c>
    </row>
    <row r="1013" spans="1:8" ht="15.5" x14ac:dyDescent="0.35">
      <c r="A1013" s="4" t="s">
        <v>2233</v>
      </c>
      <c r="B1013" s="4">
        <v>2019</v>
      </c>
      <c r="C1013" s="4" t="s">
        <v>9</v>
      </c>
      <c r="D1013" s="9">
        <v>370</v>
      </c>
      <c r="E1013" s="10" t="s">
        <v>218</v>
      </c>
      <c r="F1013" s="4">
        <v>5</v>
      </c>
      <c r="G1013" s="4" t="s">
        <v>2270</v>
      </c>
      <c r="H1013" s="4" t="s">
        <v>2271</v>
      </c>
    </row>
    <row r="1014" spans="1:8" ht="15.5" x14ac:dyDescent="0.35">
      <c r="A1014" s="4" t="s">
        <v>2233</v>
      </c>
      <c r="B1014" s="4">
        <v>2021</v>
      </c>
      <c r="C1014" s="4" t="s">
        <v>9</v>
      </c>
      <c r="D1014" s="9">
        <v>204</v>
      </c>
      <c r="E1014" s="10" t="s">
        <v>78</v>
      </c>
      <c r="F1014" s="4">
        <v>5</v>
      </c>
      <c r="G1014" s="4" t="s">
        <v>2272</v>
      </c>
      <c r="H1014" s="4" t="s">
        <v>2273</v>
      </c>
    </row>
    <row r="1015" spans="1:8" ht="15.5" x14ac:dyDescent="0.35">
      <c r="A1015" s="4" t="s">
        <v>2274</v>
      </c>
      <c r="B1015" s="4">
        <v>2014</v>
      </c>
      <c r="C1015" s="4" t="s">
        <v>9</v>
      </c>
      <c r="D1015" s="9">
        <v>14</v>
      </c>
      <c r="E1015" s="10" t="s">
        <v>269</v>
      </c>
      <c r="F1015" s="4">
        <v>25</v>
      </c>
      <c r="G1015" s="4" t="s">
        <v>2275</v>
      </c>
      <c r="H1015" s="4" t="s">
        <v>2276</v>
      </c>
    </row>
    <row r="1016" spans="1:8" ht="15.5" x14ac:dyDescent="0.35">
      <c r="A1016" s="4" t="s">
        <v>2274</v>
      </c>
      <c r="B1016" s="4">
        <v>2019</v>
      </c>
      <c r="C1016" s="4" t="s">
        <v>9</v>
      </c>
      <c r="D1016" s="9">
        <v>77</v>
      </c>
      <c r="E1016" s="10" t="s">
        <v>402</v>
      </c>
      <c r="F1016" s="4">
        <v>7</v>
      </c>
      <c r="G1016" s="4" t="s">
        <v>2277</v>
      </c>
      <c r="H1016" s="4" t="s">
        <v>2278</v>
      </c>
    </row>
    <row r="1017" spans="1:8" ht="15.5" x14ac:dyDescent="0.35">
      <c r="A1017" s="4" t="s">
        <v>2274</v>
      </c>
      <c r="B1017" s="4">
        <v>2021</v>
      </c>
      <c r="C1017" s="4" t="s">
        <v>9</v>
      </c>
      <c r="D1017" s="9">
        <v>50</v>
      </c>
      <c r="E1017" s="10" t="s">
        <v>238</v>
      </c>
      <c r="F1017" s="4">
        <v>26</v>
      </c>
      <c r="G1017" s="4" t="s">
        <v>2279</v>
      </c>
      <c r="H1017" s="4" t="s">
        <v>2280</v>
      </c>
    </row>
    <row r="1018" spans="1:8" ht="15.5" x14ac:dyDescent="0.35">
      <c r="A1018" s="4" t="s">
        <v>2281</v>
      </c>
      <c r="B1018" s="4">
        <v>2007</v>
      </c>
      <c r="C1018" s="4" t="s">
        <v>9</v>
      </c>
      <c r="D1018" s="9">
        <v>268</v>
      </c>
      <c r="E1018" s="10" t="s">
        <v>664</v>
      </c>
      <c r="F1018" s="4">
        <v>17</v>
      </c>
      <c r="G1018" s="4" t="s">
        <v>2282</v>
      </c>
      <c r="H1018" s="4" t="s">
        <v>2283</v>
      </c>
    </row>
    <row r="1019" spans="1:8" ht="15.5" x14ac:dyDescent="0.35">
      <c r="A1019" s="4" t="s">
        <v>2281</v>
      </c>
      <c r="B1019" s="4">
        <v>2008</v>
      </c>
      <c r="C1019" s="4" t="s">
        <v>9</v>
      </c>
      <c r="D1019" s="9">
        <v>160</v>
      </c>
      <c r="E1019" s="10" t="s">
        <v>372</v>
      </c>
      <c r="F1019" s="4">
        <v>23</v>
      </c>
      <c r="G1019" s="4" t="s">
        <v>2284</v>
      </c>
      <c r="H1019" s="4" t="s">
        <v>2285</v>
      </c>
    </row>
    <row r="1020" spans="1:8" ht="15.5" x14ac:dyDescent="0.35">
      <c r="A1020" s="4" t="s">
        <v>2281</v>
      </c>
      <c r="B1020" s="4">
        <v>2010</v>
      </c>
      <c r="C1020" s="4" t="s">
        <v>9</v>
      </c>
      <c r="D1020" s="9">
        <v>72</v>
      </c>
      <c r="E1020" s="10" t="s">
        <v>678</v>
      </c>
      <c r="F1020" s="4">
        <v>8</v>
      </c>
      <c r="G1020" s="4" t="s">
        <v>2286</v>
      </c>
      <c r="H1020" s="4" t="s">
        <v>2287</v>
      </c>
    </row>
    <row r="1021" spans="1:8" ht="15.5" x14ac:dyDescent="0.35">
      <c r="A1021" s="4" t="s">
        <v>2281</v>
      </c>
      <c r="B1021" s="4">
        <v>2011</v>
      </c>
      <c r="C1021" s="4" t="s">
        <v>9</v>
      </c>
      <c r="D1021" s="9">
        <v>85</v>
      </c>
      <c r="E1021" s="10" t="s">
        <v>177</v>
      </c>
      <c r="F1021" s="4">
        <v>24</v>
      </c>
      <c r="G1021" s="4" t="s">
        <v>1269</v>
      </c>
      <c r="H1021" s="4" t="s">
        <v>2288</v>
      </c>
    </row>
    <row r="1022" spans="1:8" ht="15.5" x14ac:dyDescent="0.35">
      <c r="A1022" s="4" t="s">
        <v>2281</v>
      </c>
      <c r="B1022" s="4">
        <v>2012</v>
      </c>
      <c r="C1022" s="4" t="s">
        <v>9</v>
      </c>
      <c r="D1022" s="9">
        <v>214</v>
      </c>
      <c r="E1022" s="10" t="s">
        <v>218</v>
      </c>
      <c r="F1022" s="4">
        <v>24</v>
      </c>
      <c r="G1022" s="4" t="s">
        <v>2289</v>
      </c>
      <c r="H1022" s="4" t="s">
        <v>2290</v>
      </c>
    </row>
    <row r="1023" spans="1:8" ht="15.5" x14ac:dyDescent="0.35">
      <c r="A1023" s="4" t="s">
        <v>2281</v>
      </c>
      <c r="B1023" s="4">
        <v>2015</v>
      </c>
      <c r="C1023" s="4" t="s">
        <v>9</v>
      </c>
      <c r="D1023" s="9">
        <v>53</v>
      </c>
      <c r="E1023" s="10" t="s">
        <v>2291</v>
      </c>
      <c r="F1023" s="4">
        <v>8</v>
      </c>
      <c r="G1023" s="4" t="s">
        <v>2292</v>
      </c>
      <c r="H1023" s="4" t="s">
        <v>2293</v>
      </c>
    </row>
    <row r="1024" spans="1:8" ht="15.5" x14ac:dyDescent="0.35">
      <c r="A1024" s="4" t="s">
        <v>2281</v>
      </c>
      <c r="B1024" s="4">
        <v>2016</v>
      </c>
      <c r="C1024" s="4" t="s">
        <v>9</v>
      </c>
      <c r="D1024" s="9">
        <v>115</v>
      </c>
      <c r="E1024" s="10" t="s">
        <v>54</v>
      </c>
      <c r="F1024" s="4">
        <v>15</v>
      </c>
      <c r="G1024" s="4" t="s">
        <v>2294</v>
      </c>
      <c r="H1024" s="4" t="s">
        <v>2295</v>
      </c>
    </row>
    <row r="1025" spans="1:8" ht="15.5" x14ac:dyDescent="0.35">
      <c r="A1025" s="4" t="s">
        <v>2281</v>
      </c>
      <c r="B1025" s="4">
        <v>2018</v>
      </c>
      <c r="C1025" s="4" t="s">
        <v>9</v>
      </c>
      <c r="D1025" s="9">
        <v>113</v>
      </c>
      <c r="E1025" s="10" t="s">
        <v>402</v>
      </c>
      <c r="F1025" s="4">
        <v>10</v>
      </c>
      <c r="G1025" s="4" t="s">
        <v>2296</v>
      </c>
      <c r="H1025" s="4" t="s">
        <v>2297</v>
      </c>
    </row>
    <row r="1026" spans="1:8" ht="15.5" x14ac:dyDescent="0.35">
      <c r="A1026" s="4" t="s">
        <v>2281</v>
      </c>
      <c r="B1026" s="4">
        <v>2019</v>
      </c>
      <c r="C1026" s="4" t="s">
        <v>9</v>
      </c>
      <c r="D1026" s="9">
        <v>89</v>
      </c>
      <c r="E1026" s="10" t="s">
        <v>54</v>
      </c>
      <c r="F1026" s="4">
        <v>23</v>
      </c>
      <c r="G1026" s="4" t="s">
        <v>2298</v>
      </c>
      <c r="H1026" s="4" t="s">
        <v>2299</v>
      </c>
    </row>
    <row r="1027" spans="1:8" ht="15.5" x14ac:dyDescent="0.35">
      <c r="A1027" s="4" t="s">
        <v>2281</v>
      </c>
      <c r="B1027" s="4">
        <v>2021</v>
      </c>
      <c r="C1027" s="4" t="s">
        <v>9</v>
      </c>
      <c r="D1027" s="9">
        <v>102</v>
      </c>
      <c r="E1027" s="10" t="s">
        <v>488</v>
      </c>
      <c r="F1027" s="4">
        <v>8</v>
      </c>
      <c r="G1027" s="4" t="s">
        <v>152</v>
      </c>
      <c r="H1027" s="4" t="s">
        <v>2300</v>
      </c>
    </row>
    <row r="1028" spans="1:8" ht="15.5" x14ac:dyDescent="0.35">
      <c r="A1028" s="4" t="s">
        <v>2281</v>
      </c>
      <c r="B1028" s="4">
        <v>2022</v>
      </c>
      <c r="C1028" s="4" t="s">
        <v>9</v>
      </c>
      <c r="D1028" s="9">
        <v>312</v>
      </c>
      <c r="E1028" s="10" t="s">
        <v>228</v>
      </c>
      <c r="F1028" s="4">
        <v>24</v>
      </c>
      <c r="G1028" s="4" t="s">
        <v>2301</v>
      </c>
      <c r="H1028" s="4" t="s">
        <v>2302</v>
      </c>
    </row>
    <row r="1029" spans="1:8" ht="15.5" x14ac:dyDescent="0.35">
      <c r="A1029" s="4" t="s">
        <v>2303</v>
      </c>
      <c r="B1029" s="4">
        <v>2004</v>
      </c>
      <c r="C1029" s="4" t="s">
        <v>9</v>
      </c>
      <c r="D1029" s="9">
        <v>263</v>
      </c>
      <c r="E1029" s="10" t="s">
        <v>1761</v>
      </c>
      <c r="F1029" s="4">
        <v>5</v>
      </c>
      <c r="G1029" s="4" t="s">
        <v>2289</v>
      </c>
      <c r="H1029" s="4" t="s">
        <v>2304</v>
      </c>
    </row>
    <row r="1030" spans="1:8" ht="15.5" x14ac:dyDescent="0.35">
      <c r="A1030" s="4" t="s">
        <v>2303</v>
      </c>
      <c r="B1030" s="4">
        <v>2005</v>
      </c>
      <c r="C1030" s="4" t="s">
        <v>9</v>
      </c>
      <c r="D1030" s="9">
        <v>137</v>
      </c>
      <c r="E1030" s="10" t="s">
        <v>10</v>
      </c>
      <c r="F1030" s="4">
        <v>12</v>
      </c>
      <c r="G1030" s="4" t="s">
        <v>2305</v>
      </c>
      <c r="H1030" s="4" t="s">
        <v>2306</v>
      </c>
    </row>
    <row r="1031" spans="1:8" ht="15.5" x14ac:dyDescent="0.35">
      <c r="A1031" s="4" t="s">
        <v>2307</v>
      </c>
      <c r="B1031" s="4">
        <v>1994</v>
      </c>
      <c r="C1031" s="4"/>
      <c r="D1031" s="9">
        <v>15</v>
      </c>
      <c r="E1031" s="10" t="s">
        <v>405</v>
      </c>
      <c r="F1031" s="4">
        <v>15</v>
      </c>
      <c r="G1031" s="4" t="s">
        <v>2308</v>
      </c>
      <c r="H1031" s="4" t="s">
        <v>2309</v>
      </c>
    </row>
    <row r="1032" spans="1:8" ht="15.5" x14ac:dyDescent="0.35">
      <c r="A1032" s="4" t="s">
        <v>2307</v>
      </c>
      <c r="B1032" s="4">
        <v>1996</v>
      </c>
      <c r="C1032" s="4"/>
      <c r="D1032" s="9">
        <v>19</v>
      </c>
      <c r="E1032" s="10" t="s">
        <v>1586</v>
      </c>
      <c r="F1032" s="4">
        <v>22</v>
      </c>
      <c r="G1032" s="4" t="s">
        <v>2310</v>
      </c>
      <c r="H1032" s="4" t="s">
        <v>2311</v>
      </c>
    </row>
    <row r="1033" spans="1:8" ht="15.5" x14ac:dyDescent="0.35">
      <c r="A1033" s="4" t="s">
        <v>2307</v>
      </c>
      <c r="B1033" s="4">
        <v>1998</v>
      </c>
      <c r="C1033" s="4"/>
      <c r="D1033" s="9">
        <v>8</v>
      </c>
      <c r="E1033" s="10" t="s">
        <v>186</v>
      </c>
      <c r="F1033" s="4">
        <v>6</v>
      </c>
      <c r="G1033" s="4" t="s">
        <v>2312</v>
      </c>
      <c r="H1033" s="4" t="s">
        <v>2313</v>
      </c>
    </row>
    <row r="1034" spans="1:8" ht="15.5" x14ac:dyDescent="0.35">
      <c r="A1034" s="4" t="s">
        <v>2314</v>
      </c>
      <c r="B1034" s="4">
        <v>1993</v>
      </c>
      <c r="C1034" s="4"/>
      <c r="D1034" s="9">
        <v>9</v>
      </c>
      <c r="E1034" s="10" t="s">
        <v>588</v>
      </c>
      <c r="F1034" s="4">
        <v>16</v>
      </c>
      <c r="G1034" s="4" t="s">
        <v>2315</v>
      </c>
      <c r="H1034" s="4" t="s">
        <v>2316</v>
      </c>
    </row>
    <row r="1035" spans="1:8" ht="15.5" x14ac:dyDescent="0.35">
      <c r="A1035" s="4" t="s">
        <v>2314</v>
      </c>
      <c r="B1035" s="4">
        <v>1995</v>
      </c>
      <c r="C1035" s="4"/>
      <c r="D1035" s="9">
        <v>84</v>
      </c>
      <c r="E1035" s="10" t="s">
        <v>421</v>
      </c>
      <c r="F1035" s="4">
        <v>20</v>
      </c>
      <c r="G1035" s="4" t="s">
        <v>2317</v>
      </c>
      <c r="H1035" s="4" t="s">
        <v>2318</v>
      </c>
    </row>
    <row r="1036" spans="1:8" ht="15.5" x14ac:dyDescent="0.35">
      <c r="A1036" s="4" t="s">
        <v>2314</v>
      </c>
      <c r="B1036" s="4">
        <v>1996</v>
      </c>
      <c r="C1036" s="4"/>
      <c r="D1036" s="9">
        <v>16</v>
      </c>
      <c r="E1036" s="10" t="s">
        <v>1393</v>
      </c>
      <c r="F1036" s="4">
        <v>14</v>
      </c>
      <c r="G1036" s="4" t="s">
        <v>445</v>
      </c>
      <c r="H1036" s="4" t="s">
        <v>2319</v>
      </c>
    </row>
    <row r="1037" spans="1:8" ht="15.5" x14ac:dyDescent="0.35">
      <c r="A1037" s="4" t="s">
        <v>2314</v>
      </c>
      <c r="B1037" s="4">
        <v>1997</v>
      </c>
      <c r="C1037" s="4"/>
      <c r="D1037" s="9">
        <v>60</v>
      </c>
      <c r="E1037" s="10" t="s">
        <v>48</v>
      </c>
      <c r="F1037" s="4">
        <v>6</v>
      </c>
      <c r="G1037" s="4" t="s">
        <v>2320</v>
      </c>
      <c r="H1037" s="4" t="s">
        <v>2321</v>
      </c>
    </row>
    <row r="1038" spans="1:8" ht="15.5" x14ac:dyDescent="0.35">
      <c r="A1038" s="4" t="s">
        <v>2314</v>
      </c>
      <c r="B1038" s="4">
        <v>1998</v>
      </c>
      <c r="C1038" s="4"/>
      <c r="D1038" s="9">
        <v>17</v>
      </c>
      <c r="E1038" s="10" t="s">
        <v>203</v>
      </c>
      <c r="F1038" s="4">
        <v>12</v>
      </c>
      <c r="G1038" s="4" t="s">
        <v>2322</v>
      </c>
      <c r="H1038" s="4" t="s">
        <v>2323</v>
      </c>
    </row>
    <row r="1039" spans="1:8" ht="15.5" x14ac:dyDescent="0.35">
      <c r="A1039" s="4" t="s">
        <v>2314</v>
      </c>
      <c r="B1039" s="4">
        <v>1999</v>
      </c>
      <c r="C1039" s="4"/>
      <c r="D1039" s="9">
        <v>50</v>
      </c>
      <c r="E1039" s="10" t="s">
        <v>535</v>
      </c>
      <c r="F1039" s="4">
        <v>6</v>
      </c>
      <c r="G1039" s="4" t="s">
        <v>2317</v>
      </c>
      <c r="H1039" s="4" t="s">
        <v>2324</v>
      </c>
    </row>
    <row r="1040" spans="1:8" ht="15.5" x14ac:dyDescent="0.35">
      <c r="A1040" s="4" t="s">
        <v>2314</v>
      </c>
      <c r="B1040" s="4">
        <v>2001</v>
      </c>
      <c r="C1040" s="4"/>
      <c r="D1040" s="9">
        <v>70</v>
      </c>
      <c r="E1040" s="10" t="s">
        <v>421</v>
      </c>
      <c r="F1040" s="4">
        <v>17</v>
      </c>
      <c r="G1040" s="4" t="s">
        <v>2325</v>
      </c>
      <c r="H1040" s="4" t="s">
        <v>2326</v>
      </c>
    </row>
    <row r="1041" spans="1:8" ht="15.5" x14ac:dyDescent="0.35">
      <c r="A1041" s="4" t="s">
        <v>2314</v>
      </c>
      <c r="B1041" s="4">
        <v>2002</v>
      </c>
      <c r="C1041" s="4"/>
      <c r="D1041" s="9">
        <v>33</v>
      </c>
      <c r="E1041" s="10" t="s">
        <v>381</v>
      </c>
      <c r="F1041" s="4">
        <v>22</v>
      </c>
      <c r="G1041" s="4" t="s">
        <v>2327</v>
      </c>
      <c r="H1041" s="4" t="s">
        <v>2328</v>
      </c>
    </row>
    <row r="1042" spans="1:8" ht="15.5" x14ac:dyDescent="0.35">
      <c r="A1042" s="4" t="s">
        <v>2314</v>
      </c>
      <c r="B1042" s="4">
        <v>2003</v>
      </c>
      <c r="C1042" s="4"/>
      <c r="D1042" s="9">
        <v>7</v>
      </c>
      <c r="E1042" s="10" t="s">
        <v>502</v>
      </c>
      <c r="F1042" s="4">
        <v>26</v>
      </c>
      <c r="G1042" s="4" t="s">
        <v>2329</v>
      </c>
      <c r="H1042" s="4" t="s">
        <v>2330</v>
      </c>
    </row>
    <row r="1043" spans="1:8" ht="15.5" x14ac:dyDescent="0.35">
      <c r="A1043" s="4" t="s">
        <v>2314</v>
      </c>
      <c r="B1043" s="4">
        <v>2007</v>
      </c>
      <c r="C1043" s="4" t="s">
        <v>9</v>
      </c>
      <c r="D1043" s="9">
        <v>66</v>
      </c>
      <c r="E1043" s="10" t="s">
        <v>951</v>
      </c>
      <c r="F1043" s="4">
        <v>7</v>
      </c>
      <c r="G1043" s="4" t="s">
        <v>2331</v>
      </c>
      <c r="H1043" s="4" t="s">
        <v>2332</v>
      </c>
    </row>
    <row r="1044" spans="1:8" ht="15.5" x14ac:dyDescent="0.35">
      <c r="A1044" s="4" t="s">
        <v>2314</v>
      </c>
      <c r="B1044" s="4">
        <v>2011</v>
      </c>
      <c r="C1044" s="4" t="s">
        <v>9</v>
      </c>
      <c r="D1044" s="9">
        <v>96</v>
      </c>
      <c r="E1044" s="10" t="s">
        <v>678</v>
      </c>
      <c r="F1044" s="4">
        <v>20</v>
      </c>
      <c r="G1044" s="4" t="s">
        <v>2333</v>
      </c>
      <c r="H1044" s="4" t="s">
        <v>2334</v>
      </c>
    </row>
    <row r="1045" spans="1:8" ht="15.5" x14ac:dyDescent="0.35">
      <c r="A1045" s="4" t="s">
        <v>2314</v>
      </c>
      <c r="B1045" s="4">
        <v>2014</v>
      </c>
      <c r="C1045" s="4" t="s">
        <v>9</v>
      </c>
      <c r="D1045" s="9">
        <v>9</v>
      </c>
      <c r="E1045" s="10" t="s">
        <v>581</v>
      </c>
      <c r="F1045" s="4">
        <v>17</v>
      </c>
      <c r="G1045" s="4" t="s">
        <v>2335</v>
      </c>
      <c r="H1045" s="4" t="s">
        <v>2336</v>
      </c>
    </row>
    <row r="1046" spans="1:8" ht="15.5" x14ac:dyDescent="0.35">
      <c r="A1046" s="4" t="s">
        <v>2314</v>
      </c>
      <c r="B1046" s="4">
        <v>2015</v>
      </c>
      <c r="C1046" s="4" t="s">
        <v>9</v>
      </c>
      <c r="D1046" s="9">
        <v>39</v>
      </c>
      <c r="E1046" s="10" t="s">
        <v>2337</v>
      </c>
      <c r="F1046" s="4">
        <v>1</v>
      </c>
      <c r="G1046" s="4" t="s">
        <v>2338</v>
      </c>
      <c r="H1046" s="4" t="s">
        <v>2339</v>
      </c>
    </row>
    <row r="1047" spans="1:8" ht="15.5" x14ac:dyDescent="0.35">
      <c r="A1047" s="4" t="s">
        <v>2314</v>
      </c>
      <c r="B1047" s="4">
        <v>2018</v>
      </c>
      <c r="C1047" s="4" t="s">
        <v>9</v>
      </c>
      <c r="D1047" s="9">
        <v>64</v>
      </c>
      <c r="E1047" s="10" t="s">
        <v>238</v>
      </c>
      <c r="F1047" s="4">
        <v>3</v>
      </c>
      <c r="G1047" s="4" t="s">
        <v>2340</v>
      </c>
      <c r="H1047" s="4" t="s">
        <v>2341</v>
      </c>
    </row>
    <row r="1048" spans="1:8" ht="15.5" x14ac:dyDescent="0.35">
      <c r="A1048" s="4" t="s">
        <v>2314</v>
      </c>
      <c r="B1048" s="4">
        <v>2019</v>
      </c>
      <c r="C1048" s="4" t="s">
        <v>9</v>
      </c>
      <c r="D1048" s="9">
        <v>105</v>
      </c>
      <c r="E1048" s="10" t="s">
        <v>488</v>
      </c>
      <c r="F1048" s="4">
        <v>10</v>
      </c>
      <c r="G1048" s="4" t="s">
        <v>2342</v>
      </c>
      <c r="H1048" s="4" t="s">
        <v>2343</v>
      </c>
    </row>
    <row r="1049" spans="1:8" ht="15.5" x14ac:dyDescent="0.35">
      <c r="A1049" s="4" t="s">
        <v>2344</v>
      </c>
      <c r="B1049" s="4">
        <v>1961</v>
      </c>
      <c r="C1049" s="4"/>
      <c r="D1049" s="9">
        <v>8</v>
      </c>
      <c r="E1049" s="10" t="s">
        <v>611</v>
      </c>
      <c r="F1049" s="4">
        <v>1</v>
      </c>
      <c r="G1049" s="4" t="s">
        <v>2345</v>
      </c>
      <c r="H1049" s="4" t="s">
        <v>2346</v>
      </c>
    </row>
    <row r="1050" spans="1:8" ht="15.5" x14ac:dyDescent="0.35">
      <c r="A1050" s="4" t="s">
        <v>2344</v>
      </c>
      <c r="B1050" s="4">
        <v>1962</v>
      </c>
      <c r="C1050" s="4"/>
      <c r="D1050" s="9">
        <v>0</v>
      </c>
      <c r="E1050" s="10" t="s">
        <v>105</v>
      </c>
      <c r="F1050" s="4">
        <v>3</v>
      </c>
      <c r="G1050" s="4" t="s">
        <v>2347</v>
      </c>
      <c r="H1050" s="4" t="s">
        <v>2232</v>
      </c>
    </row>
    <row r="1051" spans="1:8" ht="15.5" x14ac:dyDescent="0.35">
      <c r="A1051" s="4" t="s">
        <v>2344</v>
      </c>
      <c r="B1051" s="4">
        <v>1963</v>
      </c>
      <c r="C1051" s="4"/>
      <c r="D1051" s="9">
        <v>2</v>
      </c>
      <c r="E1051" s="10" t="s">
        <v>756</v>
      </c>
      <c r="F1051" s="4">
        <v>12</v>
      </c>
      <c r="G1051" s="4" t="s">
        <v>2348</v>
      </c>
      <c r="H1051" s="4" t="s">
        <v>2349</v>
      </c>
    </row>
    <row r="1052" spans="1:8" ht="15.5" x14ac:dyDescent="0.35">
      <c r="A1052" s="4" t="s">
        <v>2344</v>
      </c>
      <c r="B1052" s="4">
        <v>1964</v>
      </c>
      <c r="C1052" s="4"/>
      <c r="D1052" s="9">
        <v>1</v>
      </c>
      <c r="E1052" s="10" t="s">
        <v>756</v>
      </c>
      <c r="F1052" s="4">
        <v>16</v>
      </c>
      <c r="G1052" s="4" t="s">
        <v>2350</v>
      </c>
      <c r="H1052" s="4" t="s">
        <v>2351</v>
      </c>
    </row>
    <row r="1053" spans="1:8" ht="15.5" x14ac:dyDescent="0.35">
      <c r="A1053" s="4" t="s">
        <v>2344</v>
      </c>
      <c r="B1053" s="4">
        <v>1965</v>
      </c>
      <c r="C1053" s="4"/>
      <c r="D1053" s="9">
        <v>0</v>
      </c>
      <c r="E1053" s="10" t="s">
        <v>290</v>
      </c>
      <c r="F1053" s="4">
        <v>3</v>
      </c>
      <c r="G1053" s="4" t="s">
        <v>2345</v>
      </c>
      <c r="H1053" s="4" t="s">
        <v>2352</v>
      </c>
    </row>
    <row r="1054" spans="1:8" ht="15.5" x14ac:dyDescent="0.35">
      <c r="A1054" s="4" t="s">
        <v>2344</v>
      </c>
      <c r="B1054" s="4">
        <v>1966</v>
      </c>
      <c r="C1054" s="4"/>
      <c r="D1054" s="9">
        <v>9</v>
      </c>
      <c r="E1054" s="10" t="s">
        <v>321</v>
      </c>
      <c r="F1054" s="4">
        <v>11</v>
      </c>
      <c r="G1054" s="4" t="s">
        <v>2353</v>
      </c>
      <c r="H1054" s="4" t="s">
        <v>2354</v>
      </c>
    </row>
    <row r="1055" spans="1:8" ht="15.5" x14ac:dyDescent="0.35">
      <c r="A1055" s="4" t="s">
        <v>2344</v>
      </c>
      <c r="B1055" s="4">
        <v>1967</v>
      </c>
      <c r="C1055" s="4"/>
      <c r="D1055" s="9">
        <v>9</v>
      </c>
      <c r="E1055" s="10" t="s">
        <v>764</v>
      </c>
      <c r="F1055" s="4">
        <v>12</v>
      </c>
      <c r="G1055" s="4" t="s">
        <v>2353</v>
      </c>
      <c r="H1055" s="4" t="s">
        <v>2355</v>
      </c>
    </row>
    <row r="1056" spans="1:8" ht="15.5" x14ac:dyDescent="0.35">
      <c r="A1056" s="4" t="s">
        <v>2344</v>
      </c>
      <c r="B1056" s="4">
        <v>1968</v>
      </c>
      <c r="C1056" s="4"/>
      <c r="D1056" s="9">
        <v>29</v>
      </c>
      <c r="E1056" s="10" t="s">
        <v>1672</v>
      </c>
      <c r="F1056" s="4">
        <v>15</v>
      </c>
      <c r="G1056" s="4" t="s">
        <v>2356</v>
      </c>
      <c r="H1056" s="4" t="s">
        <v>2357</v>
      </c>
    </row>
    <row r="1057" spans="1:8" ht="15.5" x14ac:dyDescent="0.35">
      <c r="A1057" s="4" t="s">
        <v>2344</v>
      </c>
      <c r="B1057" s="4">
        <v>1969</v>
      </c>
      <c r="C1057" s="4"/>
      <c r="D1057" s="9">
        <v>18</v>
      </c>
      <c r="E1057" s="10" t="s">
        <v>608</v>
      </c>
      <c r="F1057" s="4">
        <v>3</v>
      </c>
      <c r="G1057" s="4" t="s">
        <v>2358</v>
      </c>
      <c r="H1057" s="4" t="s">
        <v>2359</v>
      </c>
    </row>
    <row r="1058" spans="1:8" ht="15.5" x14ac:dyDescent="0.35">
      <c r="A1058" s="4" t="s">
        <v>2344</v>
      </c>
      <c r="B1058" s="4">
        <v>1970</v>
      </c>
      <c r="C1058" s="4"/>
      <c r="D1058" s="9">
        <v>8</v>
      </c>
      <c r="E1058" s="10" t="s">
        <v>878</v>
      </c>
      <c r="F1058" s="4">
        <v>9</v>
      </c>
      <c r="G1058" s="4" t="s">
        <v>2360</v>
      </c>
      <c r="H1058" s="4" t="s">
        <v>2361</v>
      </c>
    </row>
    <row r="1059" spans="1:8" ht="15.5" x14ac:dyDescent="0.35">
      <c r="A1059" s="4" t="s">
        <v>2344</v>
      </c>
      <c r="B1059" s="4">
        <v>1971</v>
      </c>
      <c r="C1059" s="4"/>
      <c r="D1059" s="9">
        <v>116</v>
      </c>
      <c r="E1059" s="10" t="s">
        <v>890</v>
      </c>
      <c r="F1059" s="4">
        <v>6</v>
      </c>
      <c r="G1059" s="4" t="s">
        <v>2362</v>
      </c>
      <c r="H1059" s="4" t="s">
        <v>2363</v>
      </c>
    </row>
    <row r="1060" spans="1:8" ht="15.5" x14ac:dyDescent="0.35">
      <c r="A1060" s="4" t="s">
        <v>2344</v>
      </c>
      <c r="B1060" s="4">
        <v>1972</v>
      </c>
      <c r="C1060" s="4"/>
      <c r="D1060" s="9">
        <v>83</v>
      </c>
      <c r="E1060" s="10" t="s">
        <v>747</v>
      </c>
      <c r="F1060" s="4">
        <v>4</v>
      </c>
      <c r="G1060" s="4" t="s">
        <v>2364</v>
      </c>
      <c r="H1060" s="4" t="s">
        <v>2365</v>
      </c>
    </row>
    <row r="1061" spans="1:8" ht="15.5" x14ac:dyDescent="0.35">
      <c r="A1061" s="4" t="s">
        <v>2344</v>
      </c>
      <c r="B1061" s="4">
        <v>1973</v>
      </c>
      <c r="C1061" s="4"/>
      <c r="D1061" s="9">
        <v>125</v>
      </c>
      <c r="E1061" s="10" t="s">
        <v>1320</v>
      </c>
      <c r="F1061" s="4">
        <v>7</v>
      </c>
      <c r="G1061" s="4" t="s">
        <v>2366</v>
      </c>
      <c r="H1061" s="4" t="s">
        <v>2367</v>
      </c>
    </row>
    <row r="1062" spans="1:8" ht="15.5" x14ac:dyDescent="0.35">
      <c r="A1062" s="4" t="s">
        <v>2344</v>
      </c>
      <c r="B1062" s="4">
        <v>1974</v>
      </c>
      <c r="C1062" s="4"/>
      <c r="D1062" s="9">
        <v>10</v>
      </c>
      <c r="E1062" s="10" t="s">
        <v>312</v>
      </c>
      <c r="F1062" s="4">
        <v>3</v>
      </c>
      <c r="G1062" s="4" t="s">
        <v>2368</v>
      </c>
      <c r="H1062" s="4" t="s">
        <v>2369</v>
      </c>
    </row>
    <row r="1063" spans="1:8" ht="15.5" x14ac:dyDescent="0.35">
      <c r="A1063" s="4" t="s">
        <v>2344</v>
      </c>
      <c r="B1063" s="4">
        <v>1975</v>
      </c>
      <c r="C1063" s="4"/>
      <c r="D1063" s="9">
        <v>53</v>
      </c>
      <c r="E1063" s="10" t="s">
        <v>909</v>
      </c>
      <c r="F1063" s="4">
        <v>17</v>
      </c>
      <c r="G1063" s="4" t="s">
        <v>2370</v>
      </c>
      <c r="H1063" s="4" t="s">
        <v>2371</v>
      </c>
    </row>
    <row r="1064" spans="1:8" ht="15.5" x14ac:dyDescent="0.35">
      <c r="A1064" s="4" t="s">
        <v>2344</v>
      </c>
      <c r="B1064" s="4">
        <v>1976</v>
      </c>
      <c r="C1064" s="4"/>
      <c r="D1064" s="9">
        <v>11</v>
      </c>
      <c r="E1064" s="10" t="s">
        <v>124</v>
      </c>
      <c r="F1064" s="4">
        <v>12</v>
      </c>
      <c r="G1064" s="4" t="s">
        <v>2372</v>
      </c>
      <c r="H1064" s="4" t="s">
        <v>2373</v>
      </c>
    </row>
    <row r="1065" spans="1:8" ht="15.5" x14ac:dyDescent="0.35">
      <c r="A1065" s="4" t="s">
        <v>2344</v>
      </c>
      <c r="B1065" s="4">
        <v>1977</v>
      </c>
      <c r="C1065" s="4"/>
      <c r="D1065" s="9">
        <v>52</v>
      </c>
      <c r="E1065" s="10" t="s">
        <v>147</v>
      </c>
      <c r="F1065" s="4">
        <v>14</v>
      </c>
      <c r="G1065" s="4" t="s">
        <v>2374</v>
      </c>
      <c r="H1065" s="4" t="s">
        <v>2375</v>
      </c>
    </row>
    <row r="1066" spans="1:8" ht="15.5" x14ac:dyDescent="0.35">
      <c r="A1066" s="4" t="s">
        <v>2344</v>
      </c>
      <c r="B1066" s="4">
        <v>1978</v>
      </c>
      <c r="C1066" s="4"/>
      <c r="D1066" s="9">
        <v>65</v>
      </c>
      <c r="E1066" s="10" t="s">
        <v>150</v>
      </c>
      <c r="F1066" s="4">
        <v>7</v>
      </c>
      <c r="G1066" s="4" t="s">
        <v>2376</v>
      </c>
      <c r="H1066" s="4" t="s">
        <v>2377</v>
      </c>
    </row>
    <row r="1067" spans="1:8" ht="15.5" x14ac:dyDescent="0.35">
      <c r="A1067" s="4" t="s">
        <v>2344</v>
      </c>
      <c r="B1067" s="4">
        <v>1979</v>
      </c>
      <c r="C1067" s="4"/>
      <c r="D1067" s="9">
        <v>116</v>
      </c>
      <c r="E1067" s="10" t="s">
        <v>1056</v>
      </c>
      <c r="F1067" s="4">
        <v>19</v>
      </c>
      <c r="G1067" s="4" t="s">
        <v>2378</v>
      </c>
      <c r="H1067" s="4" t="s">
        <v>2379</v>
      </c>
    </row>
    <row r="1068" spans="1:8" ht="15.5" x14ac:dyDescent="0.35">
      <c r="A1068" s="4" t="s">
        <v>2344</v>
      </c>
      <c r="B1068" s="4">
        <v>1980</v>
      </c>
      <c r="C1068" s="4"/>
      <c r="D1068" s="9">
        <v>38</v>
      </c>
      <c r="E1068" s="10" t="s">
        <v>1736</v>
      </c>
      <c r="F1068" s="4">
        <v>18</v>
      </c>
      <c r="G1068" s="4" t="s">
        <v>2380</v>
      </c>
      <c r="H1068" s="4" t="s">
        <v>2381</v>
      </c>
    </row>
    <row r="1069" spans="1:8" ht="15.5" x14ac:dyDescent="0.35">
      <c r="A1069" s="4" t="s">
        <v>2344</v>
      </c>
      <c r="B1069" s="4">
        <v>1981</v>
      </c>
      <c r="C1069" s="4"/>
      <c r="D1069" s="9">
        <v>38</v>
      </c>
      <c r="E1069" s="10" t="s">
        <v>1157</v>
      </c>
      <c r="F1069" s="4">
        <v>10</v>
      </c>
      <c r="G1069" s="4" t="s">
        <v>2382</v>
      </c>
      <c r="H1069" s="4" t="s">
        <v>2383</v>
      </c>
    </row>
    <row r="1070" spans="1:8" ht="15.5" x14ac:dyDescent="0.35">
      <c r="A1070" s="4" t="s">
        <v>2344</v>
      </c>
      <c r="B1070" s="4">
        <v>1982</v>
      </c>
      <c r="C1070" s="4"/>
      <c r="D1070" s="9">
        <v>52</v>
      </c>
      <c r="E1070" s="10" t="s">
        <v>747</v>
      </c>
      <c r="F1070" s="4">
        <v>12</v>
      </c>
      <c r="G1070" s="4" t="s">
        <v>2384</v>
      </c>
      <c r="H1070" s="4" t="s">
        <v>2385</v>
      </c>
    </row>
    <row r="1071" spans="1:8" ht="15.5" x14ac:dyDescent="0.35">
      <c r="A1071" s="4" t="s">
        <v>2344</v>
      </c>
      <c r="B1071" s="4">
        <v>1983</v>
      </c>
      <c r="C1071" s="4"/>
      <c r="D1071" s="9">
        <v>0</v>
      </c>
      <c r="E1071" s="10" t="s">
        <v>1435</v>
      </c>
      <c r="F1071" s="4">
        <v>7</v>
      </c>
      <c r="G1071" s="4" t="s">
        <v>2386</v>
      </c>
      <c r="H1071" s="4" t="s">
        <v>2387</v>
      </c>
    </row>
    <row r="1072" spans="1:8" ht="15.5" x14ac:dyDescent="0.35">
      <c r="A1072" s="4" t="s">
        <v>2344</v>
      </c>
      <c r="B1072" s="4">
        <v>1984</v>
      </c>
      <c r="C1072" s="4"/>
      <c r="D1072" s="9">
        <v>106</v>
      </c>
      <c r="E1072" s="10" t="s">
        <v>898</v>
      </c>
      <c r="F1072" s="4">
        <v>4</v>
      </c>
      <c r="G1072" s="4" t="s">
        <v>2388</v>
      </c>
      <c r="H1072" s="4" t="s">
        <v>2389</v>
      </c>
    </row>
    <row r="1073" spans="1:8" ht="15.5" x14ac:dyDescent="0.35">
      <c r="A1073" s="4" t="s">
        <v>2344</v>
      </c>
      <c r="B1073" s="4">
        <v>1985</v>
      </c>
      <c r="C1073" s="4"/>
      <c r="D1073" s="9">
        <v>36</v>
      </c>
      <c r="E1073" s="10" t="s">
        <v>623</v>
      </c>
      <c r="F1073" s="4">
        <v>5</v>
      </c>
      <c r="G1073" s="4" t="s">
        <v>2390</v>
      </c>
      <c r="H1073" s="4" t="s">
        <v>2391</v>
      </c>
    </row>
    <row r="1074" spans="1:8" ht="15.5" x14ac:dyDescent="0.35">
      <c r="A1074" s="4" t="s">
        <v>2344</v>
      </c>
      <c r="B1074" s="4">
        <v>1986</v>
      </c>
      <c r="C1074" s="4"/>
      <c r="D1074" s="9">
        <v>51</v>
      </c>
      <c r="E1074" s="10" t="s">
        <v>2392</v>
      </c>
      <c r="F1074" s="4">
        <v>9</v>
      </c>
      <c r="G1074" s="4" t="s">
        <v>2393</v>
      </c>
      <c r="H1074" s="4" t="s">
        <v>2394</v>
      </c>
    </row>
    <row r="1075" spans="1:8" ht="15.5" x14ac:dyDescent="0.35">
      <c r="A1075" s="4" t="s">
        <v>2344</v>
      </c>
      <c r="B1075" s="4">
        <v>1987</v>
      </c>
      <c r="C1075" s="4"/>
      <c r="D1075" s="9">
        <v>10</v>
      </c>
      <c r="E1075" s="10" t="s">
        <v>352</v>
      </c>
      <c r="F1075" s="4">
        <v>9</v>
      </c>
      <c r="G1075" s="4" t="s">
        <v>2395</v>
      </c>
      <c r="H1075" s="4" t="s">
        <v>2396</v>
      </c>
    </row>
    <row r="1076" spans="1:8" ht="15.5" x14ac:dyDescent="0.35">
      <c r="A1076" s="4" t="s">
        <v>2344</v>
      </c>
      <c r="B1076" s="4">
        <v>1988</v>
      </c>
      <c r="C1076" s="4"/>
      <c r="D1076" s="9">
        <v>58</v>
      </c>
      <c r="E1076" s="10" t="s">
        <v>2397</v>
      </c>
      <c r="F1076" s="4">
        <v>6</v>
      </c>
      <c r="G1076" s="4" t="s">
        <v>2398</v>
      </c>
      <c r="H1076" s="4" t="s">
        <v>2399</v>
      </c>
    </row>
    <row r="1077" spans="1:8" ht="15.5" x14ac:dyDescent="0.35">
      <c r="A1077" s="4" t="s">
        <v>2344</v>
      </c>
      <c r="B1077" s="4">
        <v>1989</v>
      </c>
      <c r="C1077" s="4"/>
      <c r="D1077" s="9">
        <v>88</v>
      </c>
      <c r="E1077" s="10" t="s">
        <v>1739</v>
      </c>
      <c r="F1077" s="4">
        <v>16</v>
      </c>
      <c r="G1077" s="4" t="s">
        <v>1269</v>
      </c>
      <c r="H1077" s="4" t="s">
        <v>2400</v>
      </c>
    </row>
    <row r="1078" spans="1:8" ht="15.5" x14ac:dyDescent="0.35">
      <c r="A1078" s="4" t="s">
        <v>2344</v>
      </c>
      <c r="B1078" s="4">
        <v>1990</v>
      </c>
      <c r="C1078" s="4"/>
      <c r="D1078" s="9">
        <v>96</v>
      </c>
      <c r="E1078" s="10" t="s">
        <v>166</v>
      </c>
      <c r="F1078" s="4">
        <v>1</v>
      </c>
      <c r="G1078" s="4" t="s">
        <v>2401</v>
      </c>
      <c r="H1078" s="4" t="s">
        <v>2402</v>
      </c>
    </row>
    <row r="1079" spans="1:8" ht="15.5" x14ac:dyDescent="0.35">
      <c r="A1079" s="4" t="s">
        <v>2344</v>
      </c>
      <c r="B1079" s="4">
        <v>1991</v>
      </c>
      <c r="C1079" s="4"/>
      <c r="D1079" s="9">
        <v>119</v>
      </c>
      <c r="E1079" s="10" t="s">
        <v>1265</v>
      </c>
      <c r="F1079" s="4">
        <v>19</v>
      </c>
      <c r="G1079" s="4" t="s">
        <v>2403</v>
      </c>
      <c r="H1079" s="4" t="s">
        <v>2404</v>
      </c>
    </row>
    <row r="1080" spans="1:8" ht="15.5" x14ac:dyDescent="0.35">
      <c r="A1080" s="4" t="s">
        <v>2344</v>
      </c>
      <c r="B1080" s="4">
        <v>1992</v>
      </c>
      <c r="C1080" s="4"/>
      <c r="D1080" s="9">
        <v>37</v>
      </c>
      <c r="E1080" s="10" t="s">
        <v>424</v>
      </c>
      <c r="F1080" s="4">
        <v>1</v>
      </c>
      <c r="G1080" s="4" t="s">
        <v>2405</v>
      </c>
      <c r="H1080" s="4" t="s">
        <v>2406</v>
      </c>
    </row>
    <row r="1081" spans="1:8" ht="15.5" x14ac:dyDescent="0.35">
      <c r="A1081" s="4" t="s">
        <v>2344</v>
      </c>
      <c r="B1081" s="4">
        <v>1993</v>
      </c>
      <c r="C1081" s="4"/>
      <c r="D1081" s="9">
        <v>58</v>
      </c>
      <c r="E1081" s="10" t="s">
        <v>540</v>
      </c>
      <c r="F1081" s="4">
        <v>22</v>
      </c>
      <c r="G1081" s="4" t="s">
        <v>2407</v>
      </c>
      <c r="H1081" s="4" t="s">
        <v>2408</v>
      </c>
    </row>
    <row r="1082" spans="1:8" ht="15.5" x14ac:dyDescent="0.35">
      <c r="A1082" s="4" t="s">
        <v>2344</v>
      </c>
      <c r="B1082" s="4">
        <v>1994</v>
      </c>
      <c r="C1082" s="4"/>
      <c r="D1082" s="9">
        <v>17</v>
      </c>
      <c r="E1082" s="10" t="s">
        <v>203</v>
      </c>
      <c r="F1082" s="4">
        <v>21</v>
      </c>
      <c r="G1082" s="4" t="s">
        <v>2409</v>
      </c>
      <c r="H1082" s="4" t="s">
        <v>2410</v>
      </c>
    </row>
    <row r="1083" spans="1:8" ht="15.5" x14ac:dyDescent="0.35">
      <c r="A1083" s="4" t="s">
        <v>2344</v>
      </c>
      <c r="B1083" s="4">
        <v>1995</v>
      </c>
      <c r="C1083" s="4"/>
      <c r="D1083" s="9">
        <v>119</v>
      </c>
      <c r="E1083" s="10" t="s">
        <v>667</v>
      </c>
      <c r="F1083" s="4">
        <v>9</v>
      </c>
      <c r="G1083" s="4" t="s">
        <v>2411</v>
      </c>
      <c r="H1083" s="4" t="s">
        <v>2412</v>
      </c>
    </row>
    <row r="1084" spans="1:8" ht="15.5" x14ac:dyDescent="0.35">
      <c r="A1084" s="4" t="s">
        <v>2344</v>
      </c>
      <c r="B1084" s="4">
        <v>1996</v>
      </c>
      <c r="C1084" s="4"/>
      <c r="D1084" s="9">
        <v>17</v>
      </c>
      <c r="E1084" s="10" t="s">
        <v>361</v>
      </c>
      <c r="F1084" s="4">
        <v>3</v>
      </c>
      <c r="G1084" s="4" t="s">
        <v>2413</v>
      </c>
      <c r="H1084" s="4" t="s">
        <v>2414</v>
      </c>
    </row>
    <row r="1085" spans="1:8" ht="15.5" x14ac:dyDescent="0.35">
      <c r="A1085" s="4" t="s">
        <v>2344</v>
      </c>
      <c r="B1085" s="4">
        <v>1997</v>
      </c>
      <c r="C1085" s="4"/>
      <c r="D1085" s="9">
        <v>96</v>
      </c>
      <c r="E1085" s="10" t="s">
        <v>372</v>
      </c>
      <c r="F1085" s="4">
        <v>10</v>
      </c>
      <c r="G1085" s="4" t="s">
        <v>2415</v>
      </c>
      <c r="H1085" s="4" t="s">
        <v>2416</v>
      </c>
    </row>
    <row r="1086" spans="1:8" ht="15.5" x14ac:dyDescent="0.35">
      <c r="A1086" s="4" t="s">
        <v>2344</v>
      </c>
      <c r="B1086" s="4">
        <v>1998</v>
      </c>
      <c r="C1086" s="4"/>
      <c r="D1086" s="9">
        <v>21</v>
      </c>
      <c r="E1086" s="10" t="s">
        <v>21</v>
      </c>
      <c r="F1086" s="4">
        <v>4</v>
      </c>
      <c r="G1086" s="4" t="s">
        <v>2417</v>
      </c>
      <c r="H1086" s="4" t="s">
        <v>2418</v>
      </c>
    </row>
    <row r="1087" spans="1:8" ht="15.5" x14ac:dyDescent="0.35">
      <c r="A1087" s="4" t="s">
        <v>2344</v>
      </c>
      <c r="B1087" s="4">
        <v>1999</v>
      </c>
      <c r="C1087" s="4"/>
      <c r="D1087" s="9">
        <v>1</v>
      </c>
      <c r="E1087" s="10" t="s">
        <v>809</v>
      </c>
      <c r="F1087" s="4">
        <v>3</v>
      </c>
      <c r="G1087" s="4" t="s">
        <v>2419</v>
      </c>
      <c r="H1087" s="4" t="s">
        <v>2420</v>
      </c>
    </row>
    <row r="1088" spans="1:8" ht="15.5" x14ac:dyDescent="0.35">
      <c r="A1088" s="4" t="s">
        <v>2344</v>
      </c>
      <c r="B1088" s="4">
        <v>2000</v>
      </c>
      <c r="C1088" s="4"/>
      <c r="D1088" s="9">
        <v>18</v>
      </c>
      <c r="E1088" s="10" t="s">
        <v>194</v>
      </c>
      <c r="F1088" s="4">
        <v>13</v>
      </c>
      <c r="G1088" s="4" t="s">
        <v>2421</v>
      </c>
      <c r="H1088" s="4" t="s">
        <v>2422</v>
      </c>
    </row>
    <row r="1089" spans="1:8" ht="15.5" x14ac:dyDescent="0.35">
      <c r="A1089" s="4" t="s">
        <v>2344</v>
      </c>
      <c r="B1089" s="4">
        <v>2001</v>
      </c>
      <c r="C1089" s="4"/>
      <c r="D1089" s="9">
        <v>76</v>
      </c>
      <c r="E1089" s="10" t="s">
        <v>470</v>
      </c>
      <c r="F1089" s="4">
        <v>13</v>
      </c>
      <c r="G1089" s="4" t="s">
        <v>2423</v>
      </c>
      <c r="H1089" s="4" t="s">
        <v>2424</v>
      </c>
    </row>
    <row r="1090" spans="1:8" ht="15.5" x14ac:dyDescent="0.35">
      <c r="A1090" s="4" t="s">
        <v>2344</v>
      </c>
      <c r="B1090" s="4">
        <v>2002</v>
      </c>
      <c r="C1090" s="4"/>
      <c r="D1090" s="9">
        <v>81</v>
      </c>
      <c r="E1090" s="10" t="s">
        <v>10</v>
      </c>
      <c r="F1090" s="4">
        <v>5</v>
      </c>
      <c r="G1090" s="4" t="s">
        <v>2425</v>
      </c>
      <c r="H1090" s="4" t="s">
        <v>2426</v>
      </c>
    </row>
    <row r="1091" spans="1:8" ht="15.5" x14ac:dyDescent="0.35">
      <c r="A1091" s="4" t="s">
        <v>2344</v>
      </c>
      <c r="B1091" s="4">
        <v>2003</v>
      </c>
      <c r="C1091" s="4"/>
      <c r="D1091" s="9">
        <v>81</v>
      </c>
      <c r="E1091" s="10" t="s">
        <v>249</v>
      </c>
      <c r="F1091" s="4">
        <v>12</v>
      </c>
      <c r="G1091" s="4" t="s">
        <v>2427</v>
      </c>
      <c r="H1091" s="4" t="s">
        <v>2428</v>
      </c>
    </row>
    <row r="1092" spans="1:8" ht="15.5" x14ac:dyDescent="0.35">
      <c r="A1092" s="4" t="s">
        <v>2344</v>
      </c>
      <c r="B1092" s="4">
        <v>2004</v>
      </c>
      <c r="C1092" s="4" t="s">
        <v>9</v>
      </c>
      <c r="D1092" s="9">
        <v>87</v>
      </c>
      <c r="E1092" s="10" t="s">
        <v>1399</v>
      </c>
      <c r="F1092" s="4">
        <v>1</v>
      </c>
      <c r="G1092" s="4" t="s">
        <v>2429</v>
      </c>
      <c r="H1092" s="4" t="s">
        <v>2430</v>
      </c>
    </row>
    <row r="1093" spans="1:8" ht="15.5" x14ac:dyDescent="0.35">
      <c r="A1093" s="4" t="s">
        <v>2344</v>
      </c>
      <c r="B1093" s="4">
        <v>2005</v>
      </c>
      <c r="C1093" s="4" t="s">
        <v>9</v>
      </c>
      <c r="D1093" s="9">
        <v>28</v>
      </c>
      <c r="E1093" s="10" t="s">
        <v>200</v>
      </c>
      <c r="F1093" s="4">
        <v>10</v>
      </c>
      <c r="G1093" s="4" t="s">
        <v>2431</v>
      </c>
      <c r="H1093" s="4" t="s">
        <v>2432</v>
      </c>
    </row>
    <row r="1094" spans="1:8" ht="15.5" x14ac:dyDescent="0.35">
      <c r="A1094" s="4" t="s">
        <v>2344</v>
      </c>
      <c r="B1094" s="4">
        <v>2006</v>
      </c>
      <c r="C1094" s="4" t="s">
        <v>9</v>
      </c>
      <c r="D1094" s="9">
        <v>18</v>
      </c>
      <c r="E1094" s="10" t="s">
        <v>200</v>
      </c>
      <c r="F1094" s="4">
        <v>6</v>
      </c>
      <c r="G1094" s="4" t="s">
        <v>2433</v>
      </c>
      <c r="H1094" s="4" t="s">
        <v>2434</v>
      </c>
    </row>
    <row r="1095" spans="1:8" ht="15.5" x14ac:dyDescent="0.35">
      <c r="A1095" s="4" t="s">
        <v>2344</v>
      </c>
      <c r="B1095" s="4">
        <v>2007</v>
      </c>
      <c r="C1095" s="4" t="s">
        <v>9</v>
      </c>
      <c r="D1095" s="9">
        <v>43</v>
      </c>
      <c r="E1095" s="10" t="s">
        <v>821</v>
      </c>
      <c r="F1095" s="4">
        <v>2</v>
      </c>
      <c r="G1095" s="4" t="s">
        <v>2435</v>
      </c>
      <c r="H1095" s="4" t="s">
        <v>2436</v>
      </c>
    </row>
    <row r="1096" spans="1:8" ht="15.5" x14ac:dyDescent="0.35">
      <c r="A1096" s="4" t="s">
        <v>2344</v>
      </c>
      <c r="B1096" s="4">
        <v>2008</v>
      </c>
      <c r="C1096" s="4" t="s">
        <v>9</v>
      </c>
      <c r="D1096" s="9">
        <v>55</v>
      </c>
      <c r="E1096" s="10" t="s">
        <v>21</v>
      </c>
      <c r="F1096" s="4">
        <v>22</v>
      </c>
      <c r="G1096" s="4" t="s">
        <v>2437</v>
      </c>
      <c r="H1096" s="4" t="s">
        <v>2438</v>
      </c>
    </row>
    <row r="1097" spans="1:8" ht="15.5" x14ac:dyDescent="0.35">
      <c r="A1097" s="4" t="s">
        <v>2344</v>
      </c>
      <c r="B1097" s="4">
        <v>2009</v>
      </c>
      <c r="C1097" s="4" t="s">
        <v>9</v>
      </c>
      <c r="D1097" s="9">
        <v>23</v>
      </c>
      <c r="E1097" s="10" t="s">
        <v>1113</v>
      </c>
      <c r="F1097" s="4">
        <v>25</v>
      </c>
      <c r="G1097" s="4" t="s">
        <v>2439</v>
      </c>
      <c r="H1097" s="4" t="s">
        <v>2440</v>
      </c>
    </row>
    <row r="1098" spans="1:8" ht="15.5" x14ac:dyDescent="0.35">
      <c r="A1098" s="4" t="s">
        <v>2344</v>
      </c>
      <c r="B1098" s="4">
        <v>2010</v>
      </c>
      <c r="C1098" s="4" t="s">
        <v>9</v>
      </c>
      <c r="D1098" s="9">
        <v>68</v>
      </c>
      <c r="E1098" s="10" t="s">
        <v>86</v>
      </c>
      <c r="F1098" s="4">
        <v>2</v>
      </c>
      <c r="G1098" s="4" t="s">
        <v>2441</v>
      </c>
      <c r="H1098" s="4" t="s">
        <v>2442</v>
      </c>
    </row>
    <row r="1099" spans="1:8" ht="15.5" x14ac:dyDescent="0.35">
      <c r="A1099" s="4" t="s">
        <v>2344</v>
      </c>
      <c r="B1099" s="4">
        <v>2011</v>
      </c>
      <c r="C1099" s="4" t="s">
        <v>9</v>
      </c>
      <c r="D1099" s="9">
        <v>50</v>
      </c>
      <c r="E1099" s="10" t="s">
        <v>1113</v>
      </c>
      <c r="F1099" s="4">
        <v>22</v>
      </c>
      <c r="G1099" s="4" t="s">
        <v>2443</v>
      </c>
      <c r="H1099" s="4" t="s">
        <v>2444</v>
      </c>
    </row>
    <row r="1100" spans="1:8" ht="15.5" x14ac:dyDescent="0.35">
      <c r="A1100" s="4" t="s">
        <v>2344</v>
      </c>
      <c r="B1100" s="4">
        <v>2012</v>
      </c>
      <c r="C1100" s="4" t="s">
        <v>9</v>
      </c>
      <c r="D1100" s="9">
        <v>97</v>
      </c>
      <c r="E1100" s="10" t="s">
        <v>397</v>
      </c>
      <c r="F1100" s="4">
        <v>19</v>
      </c>
      <c r="G1100" s="4" t="s">
        <v>2445</v>
      </c>
      <c r="H1100" s="4" t="s">
        <v>2446</v>
      </c>
    </row>
    <row r="1101" spans="1:8" ht="15.5" x14ac:dyDescent="0.35">
      <c r="A1101" s="4" t="s">
        <v>2344</v>
      </c>
      <c r="B1101" s="4">
        <v>2013</v>
      </c>
      <c r="C1101" s="4" t="s">
        <v>9</v>
      </c>
      <c r="D1101" s="9">
        <v>8</v>
      </c>
      <c r="E1101" s="10" t="s">
        <v>581</v>
      </c>
      <c r="F1101" s="4">
        <v>5</v>
      </c>
      <c r="G1101" s="4" t="s">
        <v>2447</v>
      </c>
      <c r="H1101" s="4" t="s">
        <v>2448</v>
      </c>
    </row>
    <row r="1102" spans="1:8" ht="15.5" x14ac:dyDescent="0.35">
      <c r="A1102" s="4" t="s">
        <v>2344</v>
      </c>
      <c r="B1102" s="4">
        <v>2014</v>
      </c>
      <c r="C1102" s="4" t="s">
        <v>9</v>
      </c>
      <c r="D1102" s="9">
        <v>74</v>
      </c>
      <c r="E1102" s="10" t="s">
        <v>397</v>
      </c>
      <c r="F1102" s="4">
        <v>19</v>
      </c>
      <c r="G1102" s="4" t="s">
        <v>2449</v>
      </c>
      <c r="H1102" s="4" t="s">
        <v>2450</v>
      </c>
    </row>
    <row r="1103" spans="1:8" ht="15.5" x14ac:dyDescent="0.35">
      <c r="A1103" s="4" t="s">
        <v>2344</v>
      </c>
      <c r="B1103" s="4">
        <v>2015</v>
      </c>
      <c r="C1103" s="4" t="s">
        <v>9</v>
      </c>
      <c r="D1103" s="9">
        <v>15</v>
      </c>
      <c r="E1103" s="10" t="s">
        <v>2451</v>
      </c>
      <c r="F1103" s="4">
        <v>21</v>
      </c>
      <c r="G1103" s="4" t="s">
        <v>2452</v>
      </c>
      <c r="H1103" s="4" t="s">
        <v>2453</v>
      </c>
    </row>
    <row r="1104" spans="1:8" ht="15.5" x14ac:dyDescent="0.35">
      <c r="A1104" s="4" t="s">
        <v>2344</v>
      </c>
      <c r="B1104" s="4">
        <v>2016</v>
      </c>
      <c r="C1104" s="4" t="s">
        <v>9</v>
      </c>
      <c r="D1104" s="9">
        <v>77</v>
      </c>
      <c r="E1104" s="10" t="s">
        <v>238</v>
      </c>
      <c r="F1104" s="4">
        <v>19</v>
      </c>
      <c r="G1104" s="4" t="s">
        <v>2454</v>
      </c>
      <c r="H1104" s="4" t="s">
        <v>2455</v>
      </c>
    </row>
    <row r="1105" spans="1:8" ht="15.5" x14ac:dyDescent="0.35">
      <c r="A1105" s="4" t="s">
        <v>2344</v>
      </c>
      <c r="B1105" s="4">
        <v>2017</v>
      </c>
      <c r="C1105" s="4" t="s">
        <v>9</v>
      </c>
      <c r="D1105" s="9">
        <v>5</v>
      </c>
      <c r="E1105" s="10" t="s">
        <v>972</v>
      </c>
      <c r="F1105" s="4">
        <v>16</v>
      </c>
      <c r="G1105" s="4" t="s">
        <v>2456</v>
      </c>
      <c r="H1105" s="4" t="s">
        <v>2457</v>
      </c>
    </row>
    <row r="1106" spans="1:8" ht="15.5" x14ac:dyDescent="0.35">
      <c r="A1106" s="4" t="s">
        <v>2344</v>
      </c>
      <c r="B1106" s="4">
        <v>2018</v>
      </c>
      <c r="C1106" s="4" t="s">
        <v>9</v>
      </c>
      <c r="D1106" s="9">
        <v>61</v>
      </c>
      <c r="E1106" s="10" t="s">
        <v>502</v>
      </c>
      <c r="F1106" s="4">
        <v>2</v>
      </c>
      <c r="G1106" s="4" t="s">
        <v>2458</v>
      </c>
      <c r="H1106" s="4" t="s">
        <v>2459</v>
      </c>
    </row>
    <row r="1107" spans="1:8" ht="15.5" x14ac:dyDescent="0.35">
      <c r="A1107" s="4" t="s">
        <v>2344</v>
      </c>
      <c r="B1107" s="4">
        <v>2019</v>
      </c>
      <c r="C1107" s="4" t="s">
        <v>9</v>
      </c>
      <c r="D1107" s="9">
        <v>54</v>
      </c>
      <c r="E1107" s="10" t="s">
        <v>238</v>
      </c>
      <c r="F1107" s="4">
        <v>26</v>
      </c>
      <c r="G1107" s="4" t="s">
        <v>2460</v>
      </c>
      <c r="H1107" s="4" t="s">
        <v>2461</v>
      </c>
    </row>
    <row r="1108" spans="1:8" ht="15.5" x14ac:dyDescent="0.35">
      <c r="A1108" s="4" t="s">
        <v>2344</v>
      </c>
      <c r="B1108" s="4">
        <v>2021</v>
      </c>
      <c r="C1108" s="4" t="s">
        <v>9</v>
      </c>
      <c r="D1108" s="9">
        <v>6</v>
      </c>
      <c r="E1108" s="10" t="s">
        <v>269</v>
      </c>
      <c r="F1108" s="4">
        <v>13</v>
      </c>
      <c r="G1108" s="4" t="s">
        <v>2462</v>
      </c>
      <c r="H1108" s="4" t="s">
        <v>2463</v>
      </c>
    </row>
    <row r="1109" spans="1:8" ht="15.5" x14ac:dyDescent="0.35">
      <c r="A1109" s="4" t="s">
        <v>2344</v>
      </c>
      <c r="B1109" s="4">
        <v>2022</v>
      </c>
      <c r="C1109" s="4" t="s">
        <v>9</v>
      </c>
      <c r="D1109" s="9">
        <v>459</v>
      </c>
      <c r="E1109" s="10" t="s">
        <v>225</v>
      </c>
      <c r="F1109" s="4">
        <v>10</v>
      </c>
      <c r="G1109" s="4" t="s">
        <v>2464</v>
      </c>
      <c r="H1109" s="4" t="s">
        <v>2465</v>
      </c>
    </row>
    <row r="1110" spans="1:8" ht="15.5" x14ac:dyDescent="0.35">
      <c r="A1110" s="4" t="s">
        <v>2466</v>
      </c>
      <c r="B1110" s="4">
        <v>1958</v>
      </c>
      <c r="C1110" s="4"/>
      <c r="D1110" s="9">
        <v>10</v>
      </c>
      <c r="E1110" s="10" t="s">
        <v>1007</v>
      </c>
      <c r="F1110" s="4">
        <v>5</v>
      </c>
      <c r="G1110" s="4" t="s">
        <v>2467</v>
      </c>
      <c r="H1110" s="4" t="s">
        <v>2468</v>
      </c>
    </row>
    <row r="1111" spans="1:8" ht="15.5" x14ac:dyDescent="0.35">
      <c r="A1111" s="4" t="s">
        <v>2466</v>
      </c>
      <c r="B1111" s="4">
        <v>1959</v>
      </c>
      <c r="C1111" s="4"/>
      <c r="D1111" s="9">
        <v>4</v>
      </c>
      <c r="E1111" s="10" t="s">
        <v>96</v>
      </c>
      <c r="F1111" s="4">
        <v>7</v>
      </c>
      <c r="G1111" s="4" t="s">
        <v>2469</v>
      </c>
      <c r="H1111" s="4" t="s">
        <v>2470</v>
      </c>
    </row>
    <row r="1112" spans="1:8" ht="15.5" x14ac:dyDescent="0.35">
      <c r="A1112" s="4" t="s">
        <v>2466</v>
      </c>
      <c r="B1112" s="4">
        <v>1960</v>
      </c>
      <c r="C1112" s="4"/>
      <c r="D1112" s="9">
        <v>4</v>
      </c>
      <c r="E1112" s="10" t="s">
        <v>600</v>
      </c>
      <c r="F1112" s="4">
        <v>2</v>
      </c>
      <c r="G1112" s="4" t="s">
        <v>1035</v>
      </c>
      <c r="H1112" s="4" t="s">
        <v>2471</v>
      </c>
    </row>
    <row r="1113" spans="1:8" ht="15.5" x14ac:dyDescent="0.35">
      <c r="A1113" s="4" t="s">
        <v>2466</v>
      </c>
      <c r="B1113" s="4">
        <v>1961</v>
      </c>
      <c r="C1113" s="4"/>
      <c r="D1113" s="9">
        <v>2</v>
      </c>
      <c r="E1113" s="10" t="s">
        <v>2472</v>
      </c>
      <c r="F1113" s="4">
        <v>7</v>
      </c>
      <c r="G1113" s="4" t="s">
        <v>2473</v>
      </c>
      <c r="H1113" s="4" t="s">
        <v>2474</v>
      </c>
    </row>
    <row r="1114" spans="1:8" ht="15.5" x14ac:dyDescent="0.35">
      <c r="A1114" s="4" t="s">
        <v>2466</v>
      </c>
      <c r="B1114" s="4">
        <v>1962</v>
      </c>
      <c r="C1114" s="4"/>
      <c r="D1114" s="9">
        <v>4</v>
      </c>
      <c r="E1114" s="10" t="s">
        <v>108</v>
      </c>
      <c r="F1114" s="4">
        <v>6</v>
      </c>
      <c r="G1114" s="4" t="s">
        <v>2475</v>
      </c>
      <c r="H1114" s="4" t="s">
        <v>2476</v>
      </c>
    </row>
    <row r="1115" spans="1:8" ht="15.5" x14ac:dyDescent="0.35">
      <c r="A1115" s="4" t="s">
        <v>2466</v>
      </c>
      <c r="B1115" s="4">
        <v>1963</v>
      </c>
      <c r="C1115" s="4"/>
      <c r="D1115" s="9">
        <v>0</v>
      </c>
      <c r="E1115" s="10" t="s">
        <v>105</v>
      </c>
      <c r="F1115" s="4">
        <v>13</v>
      </c>
      <c r="G1115" s="4" t="s">
        <v>2477</v>
      </c>
      <c r="H1115" s="4" t="s">
        <v>2478</v>
      </c>
    </row>
    <row r="1116" spans="1:8" ht="15.5" x14ac:dyDescent="0.35">
      <c r="A1116" s="4" t="s">
        <v>2466</v>
      </c>
      <c r="B1116" s="4">
        <v>1965</v>
      </c>
      <c r="C1116" s="4"/>
      <c r="D1116" s="9">
        <v>6</v>
      </c>
      <c r="E1116" s="10" t="s">
        <v>747</v>
      </c>
      <c r="F1116" s="4">
        <v>10</v>
      </c>
      <c r="G1116" s="4" t="s">
        <v>2479</v>
      </c>
      <c r="H1116" s="4" t="s">
        <v>2480</v>
      </c>
    </row>
    <row r="1117" spans="1:8" ht="15.5" x14ac:dyDescent="0.35">
      <c r="A1117" s="4" t="s">
        <v>2466</v>
      </c>
      <c r="B1117" s="4">
        <v>1966</v>
      </c>
      <c r="C1117" s="4"/>
      <c r="D1117" s="9">
        <v>16</v>
      </c>
      <c r="E1117" s="10" t="s">
        <v>890</v>
      </c>
      <c r="F1117" s="4">
        <v>10</v>
      </c>
      <c r="G1117" s="4" t="s">
        <v>2481</v>
      </c>
      <c r="H1117" s="4" t="s">
        <v>2482</v>
      </c>
    </row>
    <row r="1118" spans="1:8" ht="15.5" x14ac:dyDescent="0.35">
      <c r="A1118" s="4" t="s">
        <v>2466</v>
      </c>
      <c r="B1118" s="4">
        <v>1967</v>
      </c>
      <c r="C1118" s="4"/>
      <c r="D1118" s="9">
        <v>7</v>
      </c>
      <c r="E1118" s="10" t="s">
        <v>1030</v>
      </c>
      <c r="F1118" s="4">
        <v>7</v>
      </c>
      <c r="G1118" s="4" t="s">
        <v>2483</v>
      </c>
      <c r="H1118" s="4" t="s">
        <v>2484</v>
      </c>
    </row>
    <row r="1119" spans="1:8" ht="15.5" x14ac:dyDescent="0.35">
      <c r="A1119" s="4" t="s">
        <v>2466</v>
      </c>
      <c r="B1119" s="4">
        <v>1968</v>
      </c>
      <c r="C1119" s="4"/>
      <c r="D1119" s="9">
        <v>15</v>
      </c>
      <c r="E1119" s="10" t="s">
        <v>1823</v>
      </c>
      <c r="F1119" s="4">
        <v>8</v>
      </c>
      <c r="G1119" s="4" t="s">
        <v>2485</v>
      </c>
      <c r="H1119" s="4" t="s">
        <v>2486</v>
      </c>
    </row>
    <row r="1120" spans="1:8" ht="15.5" x14ac:dyDescent="0.35">
      <c r="A1120" s="4" t="s">
        <v>2466</v>
      </c>
      <c r="B1120" s="4">
        <v>1969</v>
      </c>
      <c r="C1120" s="4"/>
      <c r="D1120" s="9">
        <v>8</v>
      </c>
      <c r="E1120" s="10" t="s">
        <v>611</v>
      </c>
      <c r="F1120" s="4">
        <v>9</v>
      </c>
      <c r="G1120" s="4" t="s">
        <v>2487</v>
      </c>
      <c r="H1120" s="4" t="s">
        <v>2488</v>
      </c>
    </row>
    <row r="1121" spans="1:8" ht="15.5" x14ac:dyDescent="0.35">
      <c r="A1121" s="4" t="s">
        <v>2466</v>
      </c>
      <c r="B1121" s="4">
        <v>1971</v>
      </c>
      <c r="C1121" s="4"/>
      <c r="D1121" s="9">
        <v>85</v>
      </c>
      <c r="E1121" s="10" t="s">
        <v>1315</v>
      </c>
      <c r="F1121" s="4">
        <v>12</v>
      </c>
      <c r="G1121" s="4" t="s">
        <v>2489</v>
      </c>
      <c r="H1121" s="4" t="s">
        <v>2490</v>
      </c>
    </row>
    <row r="1122" spans="1:8" ht="15.5" x14ac:dyDescent="0.35">
      <c r="A1122" s="4" t="s">
        <v>2466</v>
      </c>
      <c r="B1122" s="4">
        <v>1972</v>
      </c>
      <c r="C1122" s="4"/>
      <c r="D1122" s="9">
        <v>75</v>
      </c>
      <c r="E1122" s="10" t="s">
        <v>1145</v>
      </c>
      <c r="F1122" s="4">
        <v>14</v>
      </c>
      <c r="G1122" s="4" t="s">
        <v>2489</v>
      </c>
      <c r="H1122" s="4" t="s">
        <v>2491</v>
      </c>
    </row>
    <row r="1123" spans="1:8" ht="15.5" x14ac:dyDescent="0.35">
      <c r="A1123" s="4" t="s">
        <v>2466</v>
      </c>
      <c r="B1123" s="4">
        <v>1973</v>
      </c>
      <c r="C1123" s="4"/>
      <c r="D1123" s="9">
        <v>94</v>
      </c>
      <c r="E1123" s="10" t="s">
        <v>1823</v>
      </c>
      <c r="F1123" s="4">
        <v>12</v>
      </c>
      <c r="G1123" s="4" t="s">
        <v>2492</v>
      </c>
      <c r="H1123" s="4" t="s">
        <v>2493</v>
      </c>
    </row>
    <row r="1124" spans="1:8" ht="15.5" x14ac:dyDescent="0.35">
      <c r="A1124" s="4" t="s">
        <v>2466</v>
      </c>
      <c r="B1124" s="4">
        <v>1974</v>
      </c>
      <c r="C1124" s="4"/>
      <c r="D1124" s="9">
        <v>24</v>
      </c>
      <c r="E1124" s="10" t="s">
        <v>1672</v>
      </c>
      <c r="F1124" s="4">
        <v>8</v>
      </c>
      <c r="G1124" s="4" t="s">
        <v>2494</v>
      </c>
      <c r="H1124" s="4" t="s">
        <v>2495</v>
      </c>
    </row>
    <row r="1125" spans="1:8" ht="15.5" x14ac:dyDescent="0.35">
      <c r="A1125" s="4" t="s">
        <v>2466</v>
      </c>
      <c r="B1125" s="4">
        <v>1975</v>
      </c>
      <c r="C1125" s="4"/>
      <c r="D1125" s="9">
        <v>72</v>
      </c>
      <c r="E1125" s="10" t="s">
        <v>141</v>
      </c>
      <c r="F1125" s="4">
        <v>18</v>
      </c>
      <c r="G1125" s="4" t="s">
        <v>2496</v>
      </c>
      <c r="H1125" s="4" t="s">
        <v>2497</v>
      </c>
    </row>
    <row r="1126" spans="1:8" ht="15.5" x14ac:dyDescent="0.35">
      <c r="A1126" s="4" t="s">
        <v>2466</v>
      </c>
      <c r="B1126" s="4">
        <v>1977</v>
      </c>
      <c r="C1126" s="4"/>
      <c r="D1126" s="9">
        <v>2</v>
      </c>
      <c r="E1126" s="10" t="s">
        <v>784</v>
      </c>
      <c r="F1126" s="4">
        <v>13</v>
      </c>
      <c r="G1126" s="4" t="s">
        <v>2498</v>
      </c>
      <c r="H1126" s="4" t="s">
        <v>2499</v>
      </c>
    </row>
    <row r="1127" spans="1:8" ht="15.5" x14ac:dyDescent="0.35">
      <c r="A1127" s="4" t="s">
        <v>2466</v>
      </c>
      <c r="B1127" s="4">
        <v>1978</v>
      </c>
      <c r="C1127" s="4"/>
      <c r="D1127" s="9">
        <v>26</v>
      </c>
      <c r="E1127" s="10" t="s">
        <v>1157</v>
      </c>
      <c r="F1127" s="4">
        <v>20</v>
      </c>
      <c r="G1127" s="4" t="s">
        <v>2500</v>
      </c>
      <c r="H1127" s="4" t="s">
        <v>2501</v>
      </c>
    </row>
    <row r="1128" spans="1:8" ht="15.5" x14ac:dyDescent="0.35">
      <c r="A1128" s="4" t="s">
        <v>2466</v>
      </c>
      <c r="B1128" s="4">
        <v>1979</v>
      </c>
      <c r="C1128" s="4"/>
      <c r="D1128" s="9">
        <v>8</v>
      </c>
      <c r="E1128" s="10" t="s">
        <v>328</v>
      </c>
      <c r="F1128" s="4">
        <v>15</v>
      </c>
      <c r="G1128" s="4" t="s">
        <v>2502</v>
      </c>
      <c r="H1128" s="4" t="s">
        <v>2503</v>
      </c>
    </row>
    <row r="1129" spans="1:8" ht="15.5" x14ac:dyDescent="0.35">
      <c r="A1129" s="4" t="s">
        <v>2466</v>
      </c>
      <c r="B1129" s="4">
        <v>1980</v>
      </c>
      <c r="C1129" s="4"/>
      <c r="D1129" s="9">
        <v>47</v>
      </c>
      <c r="E1129" s="10" t="s">
        <v>909</v>
      </c>
      <c r="F1129" s="4">
        <v>8</v>
      </c>
      <c r="G1129" s="4" t="s">
        <v>2504</v>
      </c>
      <c r="H1129" s="4" t="s">
        <v>2505</v>
      </c>
    </row>
    <row r="1130" spans="1:8" ht="15.5" x14ac:dyDescent="0.35">
      <c r="A1130" s="4" t="s">
        <v>2466</v>
      </c>
      <c r="B1130" s="4">
        <v>1981</v>
      </c>
      <c r="C1130" s="4"/>
      <c r="D1130" s="9">
        <v>50</v>
      </c>
      <c r="E1130" s="10" t="s">
        <v>2392</v>
      </c>
      <c r="F1130" s="4">
        <v>20</v>
      </c>
      <c r="G1130" s="4" t="s">
        <v>2500</v>
      </c>
      <c r="H1130" s="4" t="s">
        <v>2506</v>
      </c>
    </row>
    <row r="1131" spans="1:8" ht="15.5" x14ac:dyDescent="0.35">
      <c r="A1131" s="4" t="s">
        <v>2466</v>
      </c>
      <c r="B1131" s="4">
        <v>1982</v>
      </c>
      <c r="C1131" s="4"/>
      <c r="D1131" s="9">
        <v>67</v>
      </c>
      <c r="E1131" s="10" t="s">
        <v>318</v>
      </c>
      <c r="F1131" s="4">
        <v>9</v>
      </c>
      <c r="G1131" s="4" t="s">
        <v>2507</v>
      </c>
      <c r="H1131" s="4" t="s">
        <v>2508</v>
      </c>
    </row>
    <row r="1132" spans="1:8" ht="15.5" x14ac:dyDescent="0.35">
      <c r="A1132" s="4" t="s">
        <v>2466</v>
      </c>
      <c r="B1132" s="4">
        <v>1983</v>
      </c>
      <c r="C1132" s="4"/>
      <c r="D1132" s="9">
        <v>126</v>
      </c>
      <c r="E1132" s="10" t="s">
        <v>895</v>
      </c>
      <c r="F1132" s="4">
        <v>4</v>
      </c>
      <c r="G1132" s="4" t="s">
        <v>2509</v>
      </c>
      <c r="H1132" s="4" t="s">
        <v>2510</v>
      </c>
    </row>
    <row r="1133" spans="1:8" ht="15.5" x14ac:dyDescent="0.35">
      <c r="A1133" s="4" t="s">
        <v>2466</v>
      </c>
      <c r="B1133" s="4">
        <v>1984</v>
      </c>
      <c r="C1133" s="4"/>
      <c r="D1133" s="9">
        <v>145</v>
      </c>
      <c r="E1133" s="10" t="s">
        <v>1350</v>
      </c>
      <c r="F1133" s="4">
        <v>1</v>
      </c>
      <c r="G1133" s="4" t="s">
        <v>2511</v>
      </c>
      <c r="H1133" s="4" t="s">
        <v>2512</v>
      </c>
    </row>
    <row r="1134" spans="1:8" ht="15.5" x14ac:dyDescent="0.35">
      <c r="A1134" s="4" t="s">
        <v>2466</v>
      </c>
      <c r="B1134" s="4">
        <v>1985</v>
      </c>
      <c r="C1134" s="4"/>
      <c r="D1134" s="9">
        <v>103</v>
      </c>
      <c r="E1134" s="10" t="s">
        <v>898</v>
      </c>
      <c r="F1134" s="4">
        <v>16</v>
      </c>
      <c r="G1134" s="4" t="s">
        <v>2513</v>
      </c>
      <c r="H1134" s="4" t="s">
        <v>2514</v>
      </c>
    </row>
    <row r="1135" spans="1:8" ht="15.5" x14ac:dyDescent="0.35">
      <c r="A1135" s="4" t="s">
        <v>2466</v>
      </c>
      <c r="B1135" s="4">
        <v>1986</v>
      </c>
      <c r="C1135" s="4"/>
      <c r="D1135" s="9">
        <v>78</v>
      </c>
      <c r="E1135" s="10" t="s">
        <v>1062</v>
      </c>
      <c r="F1135" s="4">
        <v>17</v>
      </c>
      <c r="G1135" s="4" t="s">
        <v>2515</v>
      </c>
      <c r="H1135" s="4" t="s">
        <v>2516</v>
      </c>
    </row>
    <row r="1136" spans="1:8" ht="15.5" x14ac:dyDescent="0.35">
      <c r="A1136" s="4" t="s">
        <v>2466</v>
      </c>
      <c r="B1136" s="4">
        <v>1987</v>
      </c>
      <c r="C1136" s="4"/>
      <c r="D1136" s="9">
        <v>50</v>
      </c>
      <c r="E1136" s="10" t="s">
        <v>355</v>
      </c>
      <c r="F1136" s="4">
        <v>6</v>
      </c>
      <c r="G1136" s="4" t="s">
        <v>2517</v>
      </c>
      <c r="H1136" s="4" t="s">
        <v>2518</v>
      </c>
    </row>
    <row r="1137" spans="1:8" ht="15.5" x14ac:dyDescent="0.35">
      <c r="A1137" s="4" t="s">
        <v>2466</v>
      </c>
      <c r="B1137" s="4">
        <v>1988</v>
      </c>
      <c r="C1137" s="4"/>
      <c r="D1137" s="9">
        <v>52</v>
      </c>
      <c r="E1137" s="10" t="s">
        <v>1546</v>
      </c>
      <c r="F1137" s="4">
        <v>2</v>
      </c>
      <c r="G1137" s="4" t="s">
        <v>2487</v>
      </c>
      <c r="H1137" s="4" t="s">
        <v>2519</v>
      </c>
    </row>
    <row r="1138" spans="1:8" ht="15.5" x14ac:dyDescent="0.35">
      <c r="A1138" s="4" t="s">
        <v>2466</v>
      </c>
      <c r="B1138" s="4">
        <v>1989</v>
      </c>
      <c r="C1138" s="4"/>
      <c r="D1138" s="9">
        <v>110</v>
      </c>
      <c r="E1138" s="10" t="s">
        <v>1265</v>
      </c>
      <c r="F1138" s="4">
        <v>10</v>
      </c>
      <c r="G1138" s="4" t="s">
        <v>2520</v>
      </c>
      <c r="H1138" s="4" t="s">
        <v>2521</v>
      </c>
    </row>
    <row r="1139" spans="1:8" ht="15.5" x14ac:dyDescent="0.35">
      <c r="A1139" s="4" t="s">
        <v>2466</v>
      </c>
      <c r="B1139" s="4">
        <v>1990</v>
      </c>
      <c r="C1139" s="4"/>
      <c r="D1139" s="9">
        <v>24</v>
      </c>
      <c r="E1139" s="10" t="s">
        <v>358</v>
      </c>
      <c r="F1139" s="4">
        <v>18</v>
      </c>
      <c r="G1139" s="4" t="s">
        <v>2522</v>
      </c>
      <c r="H1139" s="4" t="s">
        <v>2523</v>
      </c>
    </row>
    <row r="1140" spans="1:8" ht="15.5" x14ac:dyDescent="0.35">
      <c r="A1140" s="4" t="s">
        <v>2466</v>
      </c>
      <c r="B1140" s="4">
        <v>1991</v>
      </c>
      <c r="C1140" s="4"/>
      <c r="D1140" s="9">
        <v>146</v>
      </c>
      <c r="E1140" s="10" t="s">
        <v>1364</v>
      </c>
      <c r="F1140" s="4">
        <v>8</v>
      </c>
      <c r="G1140" s="4" t="s">
        <v>2524</v>
      </c>
      <c r="H1140" s="4" t="s">
        <v>2525</v>
      </c>
    </row>
    <row r="1141" spans="1:8" ht="15.5" x14ac:dyDescent="0.35">
      <c r="A1141" s="4" t="s">
        <v>2466</v>
      </c>
      <c r="B1141" s="4">
        <v>1992</v>
      </c>
      <c r="C1141" s="4"/>
      <c r="D1141" s="9">
        <v>9</v>
      </c>
      <c r="E1141" s="10" t="s">
        <v>416</v>
      </c>
      <c r="F1141" s="4">
        <v>7</v>
      </c>
      <c r="G1141" s="4" t="s">
        <v>2526</v>
      </c>
      <c r="H1141" s="4" t="s">
        <v>2527</v>
      </c>
    </row>
    <row r="1142" spans="1:8" ht="15.5" x14ac:dyDescent="0.35">
      <c r="A1142" s="4" t="s">
        <v>2466</v>
      </c>
      <c r="B1142" s="4">
        <v>1993</v>
      </c>
      <c r="C1142" s="4"/>
      <c r="D1142" s="9">
        <v>89</v>
      </c>
      <c r="E1142" s="10" t="s">
        <v>51</v>
      </c>
      <c r="F1142" s="4">
        <v>13</v>
      </c>
      <c r="G1142" s="4" t="s">
        <v>2528</v>
      </c>
      <c r="H1142" s="4" t="s">
        <v>2529</v>
      </c>
    </row>
    <row r="1143" spans="1:8" ht="15.5" x14ac:dyDescent="0.35">
      <c r="A1143" s="4" t="s">
        <v>2466</v>
      </c>
      <c r="B1143" s="4">
        <v>1994</v>
      </c>
      <c r="C1143" s="4"/>
      <c r="D1143" s="9">
        <v>48</v>
      </c>
      <c r="E1143" s="10" t="s">
        <v>678</v>
      </c>
      <c r="F1143" s="4">
        <v>1</v>
      </c>
      <c r="G1143" s="4" t="s">
        <v>2530</v>
      </c>
      <c r="H1143" s="4" t="s">
        <v>2531</v>
      </c>
    </row>
    <row r="1144" spans="1:8" ht="15.5" x14ac:dyDescent="0.35">
      <c r="A1144" s="4" t="s">
        <v>2466</v>
      </c>
      <c r="B1144" s="4">
        <v>1995</v>
      </c>
      <c r="C1144" s="4"/>
      <c r="D1144" s="9">
        <v>100</v>
      </c>
      <c r="E1144" s="10" t="s">
        <v>1093</v>
      </c>
      <c r="F1144" s="4">
        <v>18</v>
      </c>
      <c r="G1144" s="4" t="s">
        <v>2532</v>
      </c>
      <c r="H1144" s="4" t="s">
        <v>2533</v>
      </c>
    </row>
    <row r="1145" spans="1:8" ht="15.5" x14ac:dyDescent="0.35">
      <c r="A1145" s="4" t="s">
        <v>2466</v>
      </c>
      <c r="B1145" s="4">
        <v>1996</v>
      </c>
      <c r="C1145" s="4"/>
      <c r="D1145" s="9">
        <v>100</v>
      </c>
      <c r="E1145" s="10" t="s">
        <v>1093</v>
      </c>
      <c r="F1145" s="4">
        <v>23</v>
      </c>
      <c r="G1145" s="4" t="s">
        <v>2534</v>
      </c>
      <c r="H1145" s="4" t="s">
        <v>2535</v>
      </c>
    </row>
    <row r="1146" spans="1:8" ht="15.5" x14ac:dyDescent="0.35">
      <c r="A1146" s="4" t="s">
        <v>2466</v>
      </c>
      <c r="B1146" s="4">
        <v>1997</v>
      </c>
      <c r="C1146" s="4"/>
      <c r="D1146" s="9">
        <v>36</v>
      </c>
      <c r="E1146" s="10" t="s">
        <v>177</v>
      </c>
      <c r="F1146" s="4">
        <v>16</v>
      </c>
      <c r="G1146" s="4" t="s">
        <v>2536</v>
      </c>
      <c r="H1146" s="4" t="s">
        <v>2537</v>
      </c>
    </row>
    <row r="1147" spans="1:8" ht="15.5" x14ac:dyDescent="0.35">
      <c r="A1147" s="4" t="s">
        <v>2466</v>
      </c>
      <c r="B1147" s="4">
        <v>1998</v>
      </c>
      <c r="C1147" s="4"/>
      <c r="D1147" s="9">
        <v>53</v>
      </c>
      <c r="E1147" s="10" t="s">
        <v>48</v>
      </c>
      <c r="F1147" s="4">
        <v>19</v>
      </c>
      <c r="G1147" s="4" t="s">
        <v>2538</v>
      </c>
      <c r="H1147" s="4" t="s">
        <v>2539</v>
      </c>
    </row>
    <row r="1148" spans="1:8" ht="15.5" x14ac:dyDescent="0.35">
      <c r="A1148" s="4" t="s">
        <v>2466</v>
      </c>
      <c r="B1148" s="4">
        <v>1999</v>
      </c>
      <c r="C1148" s="4"/>
      <c r="D1148" s="9">
        <v>163</v>
      </c>
      <c r="E1148" s="10" t="s">
        <v>712</v>
      </c>
      <c r="F1148" s="4">
        <v>15</v>
      </c>
      <c r="G1148" s="4" t="s">
        <v>2540</v>
      </c>
      <c r="H1148" s="4" t="s">
        <v>2541</v>
      </c>
    </row>
    <row r="1149" spans="1:8" ht="15.5" x14ac:dyDescent="0.35">
      <c r="A1149" s="4" t="s">
        <v>2466</v>
      </c>
      <c r="B1149" s="4">
        <v>2000</v>
      </c>
      <c r="C1149" s="4"/>
      <c r="D1149" s="9">
        <v>88</v>
      </c>
      <c r="E1149" s="10" t="s">
        <v>10</v>
      </c>
      <c r="F1149" s="4">
        <v>18</v>
      </c>
      <c r="G1149" s="4" t="s">
        <v>2542</v>
      </c>
      <c r="H1149" s="4" t="s">
        <v>2543</v>
      </c>
    </row>
    <row r="1150" spans="1:8" ht="15.5" x14ac:dyDescent="0.35">
      <c r="A1150" s="4" t="s">
        <v>2466</v>
      </c>
      <c r="B1150" s="4">
        <v>2001</v>
      </c>
      <c r="C1150" s="4"/>
      <c r="D1150" s="9">
        <v>100</v>
      </c>
      <c r="E1150" s="10" t="s">
        <v>656</v>
      </c>
      <c r="F1150" s="4">
        <v>7</v>
      </c>
      <c r="G1150" s="4" t="s">
        <v>2544</v>
      </c>
      <c r="H1150" s="4" t="s">
        <v>2545</v>
      </c>
    </row>
    <row r="1151" spans="1:8" ht="15.5" x14ac:dyDescent="0.35">
      <c r="A1151" s="4" t="s">
        <v>2466</v>
      </c>
      <c r="B1151" s="4">
        <v>2002</v>
      </c>
      <c r="C1151" s="4"/>
      <c r="D1151" s="9">
        <v>72</v>
      </c>
      <c r="E1151" s="10" t="s">
        <v>40</v>
      </c>
      <c r="F1151" s="4">
        <v>12</v>
      </c>
      <c r="G1151" s="4" t="s">
        <v>2546</v>
      </c>
      <c r="H1151" s="4" t="s">
        <v>2547</v>
      </c>
    </row>
    <row r="1152" spans="1:8" ht="15.5" x14ac:dyDescent="0.35">
      <c r="A1152" s="4" t="s">
        <v>2466</v>
      </c>
      <c r="B1152" s="4">
        <v>2003</v>
      </c>
      <c r="C1152" s="4"/>
      <c r="D1152" s="9">
        <v>107</v>
      </c>
      <c r="E1152" s="10" t="s">
        <v>24</v>
      </c>
      <c r="F1152" s="4">
        <v>25</v>
      </c>
      <c r="G1152" s="4" t="s">
        <v>2548</v>
      </c>
      <c r="H1152" s="4" t="s">
        <v>2549</v>
      </c>
    </row>
    <row r="1153" spans="1:8" ht="15.5" x14ac:dyDescent="0.35">
      <c r="A1153" s="4" t="s">
        <v>2466</v>
      </c>
      <c r="B1153" s="4">
        <v>2004</v>
      </c>
      <c r="C1153" s="4" t="s">
        <v>9</v>
      </c>
      <c r="D1153" s="9">
        <v>170</v>
      </c>
      <c r="E1153" s="10" t="s">
        <v>454</v>
      </c>
      <c r="F1153" s="4">
        <v>24</v>
      </c>
      <c r="G1153" s="4" t="s">
        <v>2550</v>
      </c>
      <c r="H1153" s="4" t="s">
        <v>2551</v>
      </c>
    </row>
    <row r="1154" spans="1:8" ht="15.5" x14ac:dyDescent="0.35">
      <c r="A1154" s="4" t="s">
        <v>2466</v>
      </c>
      <c r="B1154" s="4">
        <v>2005</v>
      </c>
      <c r="C1154" s="4" t="s">
        <v>9</v>
      </c>
      <c r="D1154" s="9">
        <v>30</v>
      </c>
      <c r="E1154" s="10" t="s">
        <v>1110</v>
      </c>
      <c r="F1154" s="4">
        <v>14</v>
      </c>
      <c r="G1154" s="4" t="s">
        <v>2552</v>
      </c>
      <c r="H1154" s="4" t="s">
        <v>2553</v>
      </c>
    </row>
    <row r="1155" spans="1:8" ht="15.5" x14ac:dyDescent="0.35">
      <c r="A1155" s="4" t="s">
        <v>2466</v>
      </c>
      <c r="B1155" s="4">
        <v>2006</v>
      </c>
      <c r="C1155" s="4" t="s">
        <v>9</v>
      </c>
      <c r="D1155" s="9">
        <v>170</v>
      </c>
      <c r="E1155" s="10" t="s">
        <v>454</v>
      </c>
      <c r="F1155" s="4">
        <v>22</v>
      </c>
      <c r="G1155" s="4" t="s">
        <v>2524</v>
      </c>
      <c r="H1155" s="4" t="s">
        <v>2554</v>
      </c>
    </row>
    <row r="1156" spans="1:8" ht="15.5" x14ac:dyDescent="0.35">
      <c r="A1156" s="4" t="s">
        <v>2466</v>
      </c>
      <c r="B1156" s="4">
        <v>2007</v>
      </c>
      <c r="C1156" s="4" t="s">
        <v>9</v>
      </c>
      <c r="D1156" s="9">
        <v>51</v>
      </c>
      <c r="E1156" s="10" t="s">
        <v>194</v>
      </c>
      <c r="F1156" s="4">
        <v>12</v>
      </c>
      <c r="G1156" s="4" t="s">
        <v>2555</v>
      </c>
      <c r="H1156" s="4" t="s">
        <v>2556</v>
      </c>
    </row>
    <row r="1157" spans="1:8" ht="15.5" x14ac:dyDescent="0.35">
      <c r="A1157" s="4" t="s">
        <v>2466</v>
      </c>
      <c r="B1157" s="4">
        <v>2008</v>
      </c>
      <c r="C1157" s="4" t="s">
        <v>9</v>
      </c>
      <c r="D1157" s="9">
        <v>47</v>
      </c>
      <c r="E1157" s="10" t="s">
        <v>203</v>
      </c>
      <c r="F1157" s="4">
        <v>15</v>
      </c>
      <c r="G1157" s="4" t="s">
        <v>2557</v>
      </c>
      <c r="H1157" s="4" t="s">
        <v>2558</v>
      </c>
    </row>
    <row r="1158" spans="1:8" ht="15.5" x14ac:dyDescent="0.35">
      <c r="A1158" s="4" t="s">
        <v>2466</v>
      </c>
      <c r="B1158" s="4">
        <v>2009</v>
      </c>
      <c r="C1158" s="4" t="s">
        <v>9</v>
      </c>
      <c r="D1158" s="9">
        <v>33</v>
      </c>
      <c r="E1158" s="10" t="s">
        <v>186</v>
      </c>
      <c r="F1158" s="4">
        <v>4</v>
      </c>
      <c r="G1158" s="4" t="s">
        <v>2559</v>
      </c>
      <c r="H1158" s="4" t="s">
        <v>2560</v>
      </c>
    </row>
    <row r="1159" spans="1:8" ht="15.5" x14ac:dyDescent="0.35">
      <c r="A1159" s="4" t="s">
        <v>2466</v>
      </c>
      <c r="B1159" s="4">
        <v>2011</v>
      </c>
      <c r="C1159" s="4" t="s">
        <v>9</v>
      </c>
      <c r="D1159" s="9">
        <v>185</v>
      </c>
      <c r="E1159" s="10" t="s">
        <v>225</v>
      </c>
      <c r="F1159" s="4">
        <v>7</v>
      </c>
      <c r="G1159" s="4" t="s">
        <v>2561</v>
      </c>
      <c r="H1159" s="4" t="s">
        <v>2562</v>
      </c>
    </row>
    <row r="1160" spans="1:8" ht="15.5" x14ac:dyDescent="0.35">
      <c r="A1160" s="4" t="s">
        <v>2466</v>
      </c>
      <c r="B1160" s="4">
        <v>2012</v>
      </c>
      <c r="C1160" s="4" t="s">
        <v>9</v>
      </c>
      <c r="D1160" s="9">
        <v>372</v>
      </c>
      <c r="E1160" s="10" t="s">
        <v>206</v>
      </c>
      <c r="F1160" s="4">
        <v>17</v>
      </c>
      <c r="G1160" s="4" t="s">
        <v>2563</v>
      </c>
      <c r="H1160" s="4" t="s">
        <v>2564</v>
      </c>
    </row>
    <row r="1161" spans="1:8" ht="15.5" x14ac:dyDescent="0.35">
      <c r="A1161" s="4" t="s">
        <v>2466</v>
      </c>
      <c r="B1161" s="4">
        <v>2013</v>
      </c>
      <c r="C1161" s="4" t="s">
        <v>9</v>
      </c>
      <c r="D1161" s="9">
        <v>62</v>
      </c>
      <c r="E1161" s="10" t="s">
        <v>246</v>
      </c>
      <c r="F1161" s="4">
        <v>16</v>
      </c>
      <c r="G1161" s="4" t="s">
        <v>2565</v>
      </c>
      <c r="H1161" s="4" t="s">
        <v>2566</v>
      </c>
    </row>
    <row r="1162" spans="1:8" ht="15.5" x14ac:dyDescent="0.35">
      <c r="A1162" s="4" t="s">
        <v>2466</v>
      </c>
      <c r="B1162" s="4">
        <v>2014</v>
      </c>
      <c r="C1162" s="4" t="s">
        <v>9</v>
      </c>
      <c r="D1162" s="9">
        <v>218</v>
      </c>
      <c r="E1162" s="10" t="s">
        <v>218</v>
      </c>
      <c r="F1162" s="4">
        <v>13</v>
      </c>
      <c r="G1162" s="4" t="s">
        <v>2567</v>
      </c>
      <c r="H1162" s="4" t="s">
        <v>2568</v>
      </c>
    </row>
    <row r="1163" spans="1:8" ht="15.5" x14ac:dyDescent="0.35">
      <c r="A1163" s="4" t="s">
        <v>2466</v>
      </c>
      <c r="B1163" s="4">
        <v>2015</v>
      </c>
      <c r="C1163" s="4" t="s">
        <v>9</v>
      </c>
      <c r="D1163" s="9">
        <v>365</v>
      </c>
      <c r="E1163" s="10" t="s">
        <v>2569</v>
      </c>
      <c r="F1163" s="4">
        <v>10</v>
      </c>
      <c r="G1163" s="4" t="s">
        <v>2570</v>
      </c>
      <c r="H1163" s="4" t="s">
        <v>2571</v>
      </c>
    </row>
    <row r="1164" spans="1:8" ht="15.5" x14ac:dyDescent="0.35">
      <c r="A1164" s="4" t="s">
        <v>2466</v>
      </c>
      <c r="B1164" s="4">
        <v>2016</v>
      </c>
      <c r="C1164" s="4" t="s">
        <v>9</v>
      </c>
      <c r="D1164" s="9">
        <v>261</v>
      </c>
      <c r="E1164" s="10" t="s">
        <v>24</v>
      </c>
      <c r="F1164" s="4">
        <v>9</v>
      </c>
      <c r="G1164" s="4" t="s">
        <v>2572</v>
      </c>
      <c r="H1164" s="4" t="s">
        <v>2573</v>
      </c>
    </row>
    <row r="1165" spans="1:8" ht="15.5" x14ac:dyDescent="0.35">
      <c r="A1165" s="4" t="s">
        <v>2466</v>
      </c>
      <c r="B1165" s="4">
        <v>2017</v>
      </c>
      <c r="C1165" s="4" t="s">
        <v>9</v>
      </c>
      <c r="D1165" s="9">
        <v>344</v>
      </c>
      <c r="E1165" s="10" t="s">
        <v>24</v>
      </c>
      <c r="F1165" s="4">
        <v>24</v>
      </c>
      <c r="G1165" s="4" t="s">
        <v>2574</v>
      </c>
      <c r="H1165" s="4" t="s">
        <v>2575</v>
      </c>
    </row>
    <row r="1166" spans="1:8" ht="15.5" x14ac:dyDescent="0.35">
      <c r="A1166" s="4" t="s">
        <v>2466</v>
      </c>
      <c r="B1166" s="4">
        <v>2018</v>
      </c>
      <c r="C1166" s="4" t="s">
        <v>9</v>
      </c>
      <c r="D1166" s="9">
        <v>274</v>
      </c>
      <c r="E1166" s="10" t="s">
        <v>63</v>
      </c>
      <c r="F1166" s="4">
        <v>20</v>
      </c>
      <c r="G1166" s="4" t="s">
        <v>2576</v>
      </c>
      <c r="H1166" s="4" t="s">
        <v>2577</v>
      </c>
    </row>
    <row r="1167" spans="1:8" ht="15.5" x14ac:dyDescent="0.35">
      <c r="A1167" s="4" t="s">
        <v>2466</v>
      </c>
      <c r="B1167" s="4">
        <v>2019</v>
      </c>
      <c r="C1167" s="4" t="s">
        <v>9</v>
      </c>
      <c r="D1167" s="9">
        <v>334</v>
      </c>
      <c r="E1167" s="10" t="s">
        <v>24</v>
      </c>
      <c r="F1167" s="4">
        <v>9</v>
      </c>
      <c r="G1167" s="4" t="s">
        <v>2578</v>
      </c>
      <c r="H1167" s="4" t="s">
        <v>2579</v>
      </c>
    </row>
    <row r="1168" spans="1:8" ht="15.5" x14ac:dyDescent="0.35">
      <c r="A1168" s="4" t="s">
        <v>2466</v>
      </c>
      <c r="B1168" s="4">
        <v>2021</v>
      </c>
      <c r="C1168" s="4" t="s">
        <v>9</v>
      </c>
      <c r="D1168" s="9">
        <v>109</v>
      </c>
      <c r="E1168" s="10" t="s">
        <v>246</v>
      </c>
      <c r="F1168" s="4">
        <v>25</v>
      </c>
      <c r="G1168" s="4" t="s">
        <v>2580</v>
      </c>
      <c r="H1168" s="4" t="s">
        <v>2581</v>
      </c>
    </row>
    <row r="1169" spans="1:8" ht="15.5" x14ac:dyDescent="0.35">
      <c r="A1169" s="4" t="s">
        <v>2466</v>
      </c>
      <c r="B1169" s="4">
        <v>2022</v>
      </c>
      <c r="C1169" s="4" t="s">
        <v>9</v>
      </c>
      <c r="D1169" s="9">
        <v>438</v>
      </c>
      <c r="E1169" s="10" t="s">
        <v>45</v>
      </c>
      <c r="F1169" s="4">
        <v>20</v>
      </c>
      <c r="G1169" s="4" t="s">
        <v>2582</v>
      </c>
      <c r="H1169" s="4" t="s">
        <v>2583</v>
      </c>
    </row>
    <row r="1170" spans="1:8" ht="15.5" x14ac:dyDescent="0.35">
      <c r="A1170" s="4" t="s">
        <v>2584</v>
      </c>
      <c r="B1170" s="4">
        <v>1957</v>
      </c>
      <c r="C1170" s="4"/>
      <c r="D1170" s="9">
        <v>5</v>
      </c>
      <c r="E1170" s="10" t="s">
        <v>273</v>
      </c>
      <c r="F1170" s="4">
        <v>10</v>
      </c>
      <c r="G1170" s="4" t="s">
        <v>2585</v>
      </c>
      <c r="H1170" s="4" t="s">
        <v>2586</v>
      </c>
    </row>
    <row r="1171" spans="1:8" ht="15.5" x14ac:dyDescent="0.35">
      <c r="A1171" s="4" t="s">
        <v>2584</v>
      </c>
      <c r="B1171" s="4">
        <v>1958</v>
      </c>
      <c r="C1171" s="4"/>
      <c r="D1171" s="9">
        <v>24</v>
      </c>
      <c r="E1171" s="10" t="s">
        <v>846</v>
      </c>
      <c r="F1171" s="4">
        <v>10</v>
      </c>
      <c r="G1171" s="4" t="s">
        <v>2585</v>
      </c>
      <c r="H1171" s="4" t="s">
        <v>2587</v>
      </c>
    </row>
    <row r="1172" spans="1:8" ht="15.5" x14ac:dyDescent="0.35">
      <c r="A1172" s="4" t="s">
        <v>2584</v>
      </c>
      <c r="B1172" s="4">
        <v>1959</v>
      </c>
      <c r="C1172" s="4"/>
      <c r="D1172" s="9">
        <v>14</v>
      </c>
      <c r="E1172" s="10" t="s">
        <v>2588</v>
      </c>
      <c r="F1172" s="4">
        <v>8</v>
      </c>
      <c r="G1172" s="4" t="s">
        <v>2589</v>
      </c>
      <c r="H1172" s="4" t="s">
        <v>2590</v>
      </c>
    </row>
    <row r="1173" spans="1:8" ht="15.5" x14ac:dyDescent="0.35">
      <c r="A1173" s="4" t="s">
        <v>2584</v>
      </c>
      <c r="B1173" s="4">
        <v>1960</v>
      </c>
      <c r="C1173" s="4"/>
      <c r="D1173" s="9">
        <v>5</v>
      </c>
      <c r="E1173" s="10" t="s">
        <v>1497</v>
      </c>
      <c r="F1173" s="4">
        <v>9</v>
      </c>
      <c r="G1173" s="4" t="s">
        <v>2591</v>
      </c>
      <c r="H1173" s="4" t="s">
        <v>2592</v>
      </c>
    </row>
    <row r="1174" spans="1:8" ht="15.5" x14ac:dyDescent="0.35">
      <c r="A1174" s="4" t="s">
        <v>2584</v>
      </c>
      <c r="B1174" s="4">
        <v>1961</v>
      </c>
      <c r="C1174" s="4"/>
      <c r="D1174" s="9">
        <v>16</v>
      </c>
      <c r="E1174" s="10" t="s">
        <v>1504</v>
      </c>
      <c r="F1174" s="4">
        <v>10</v>
      </c>
      <c r="G1174" s="4" t="s">
        <v>2593</v>
      </c>
      <c r="H1174" s="4" t="s">
        <v>2594</v>
      </c>
    </row>
    <row r="1175" spans="1:8" ht="15.5" x14ac:dyDescent="0.35">
      <c r="A1175" s="4" t="s">
        <v>2584</v>
      </c>
      <c r="B1175" s="4">
        <v>1962</v>
      </c>
      <c r="C1175" s="4"/>
      <c r="D1175" s="9">
        <v>2</v>
      </c>
      <c r="E1175" s="10" t="s">
        <v>285</v>
      </c>
      <c r="F1175" s="4">
        <v>11</v>
      </c>
      <c r="G1175" s="4" t="s">
        <v>853</v>
      </c>
      <c r="H1175" s="4" t="s">
        <v>2595</v>
      </c>
    </row>
    <row r="1176" spans="1:8" ht="15.5" x14ac:dyDescent="0.35">
      <c r="A1176" s="4" t="s">
        <v>2584</v>
      </c>
      <c r="B1176" s="4">
        <v>1963</v>
      </c>
      <c r="C1176" s="4"/>
      <c r="D1176" s="9">
        <v>40</v>
      </c>
      <c r="E1176" s="10" t="s">
        <v>1814</v>
      </c>
      <c r="F1176" s="4">
        <v>10</v>
      </c>
      <c r="G1176" s="4" t="s">
        <v>2596</v>
      </c>
      <c r="H1176" s="4" t="s">
        <v>2597</v>
      </c>
    </row>
    <row r="1177" spans="1:8" ht="15.5" x14ac:dyDescent="0.35">
      <c r="A1177" s="4" t="s">
        <v>2584</v>
      </c>
      <c r="B1177" s="4">
        <v>1964</v>
      </c>
      <c r="C1177" s="4"/>
      <c r="D1177" s="9">
        <v>0</v>
      </c>
      <c r="E1177" s="10" t="s">
        <v>105</v>
      </c>
      <c r="F1177" s="4">
        <v>14</v>
      </c>
      <c r="G1177" s="4" t="s">
        <v>2591</v>
      </c>
      <c r="H1177" s="4" t="s">
        <v>2598</v>
      </c>
    </row>
    <row r="1178" spans="1:8" ht="15.5" x14ac:dyDescent="0.35">
      <c r="A1178" s="4" t="s">
        <v>2584</v>
      </c>
      <c r="B1178" s="4">
        <v>1965</v>
      </c>
      <c r="C1178" s="4"/>
      <c r="D1178" s="9">
        <v>8</v>
      </c>
      <c r="E1178" s="10" t="s">
        <v>318</v>
      </c>
      <c r="F1178" s="4">
        <v>18</v>
      </c>
      <c r="G1178" s="4" t="s">
        <v>2599</v>
      </c>
      <c r="H1178" s="4" t="s">
        <v>2600</v>
      </c>
    </row>
    <row r="1179" spans="1:8" ht="15.5" x14ac:dyDescent="0.35">
      <c r="A1179" s="4" t="s">
        <v>2584</v>
      </c>
      <c r="B1179" s="4">
        <v>1966</v>
      </c>
      <c r="C1179" s="4"/>
      <c r="D1179" s="9">
        <v>12</v>
      </c>
      <c r="E1179" s="10" t="s">
        <v>1315</v>
      </c>
      <c r="F1179" s="4">
        <v>12</v>
      </c>
      <c r="G1179" s="4" t="s">
        <v>2601</v>
      </c>
      <c r="H1179" s="4" t="s">
        <v>2602</v>
      </c>
    </row>
    <row r="1180" spans="1:8" ht="15.5" x14ac:dyDescent="0.35">
      <c r="A1180" s="4" t="s">
        <v>2584</v>
      </c>
      <c r="B1180" s="4">
        <v>1967</v>
      </c>
      <c r="C1180" s="4"/>
      <c r="D1180" s="9">
        <v>0</v>
      </c>
      <c r="E1180" s="10" t="s">
        <v>309</v>
      </c>
      <c r="F1180" s="4">
        <v>6</v>
      </c>
      <c r="G1180" s="4" t="s">
        <v>1675</v>
      </c>
      <c r="H1180" s="4" t="s">
        <v>2603</v>
      </c>
    </row>
    <row r="1181" spans="1:8" ht="15.5" x14ac:dyDescent="0.35">
      <c r="A1181" s="4" t="s">
        <v>2584</v>
      </c>
      <c r="B1181" s="4">
        <v>1968</v>
      </c>
      <c r="C1181" s="4"/>
      <c r="D1181" s="9">
        <v>2</v>
      </c>
      <c r="E1181" s="10" t="s">
        <v>121</v>
      </c>
      <c r="F1181" s="4">
        <v>6</v>
      </c>
      <c r="G1181" s="4" t="s">
        <v>2604</v>
      </c>
      <c r="H1181" s="4" t="s">
        <v>2605</v>
      </c>
    </row>
    <row r="1182" spans="1:8" ht="15.5" x14ac:dyDescent="0.35">
      <c r="A1182" s="4" t="s">
        <v>2584</v>
      </c>
      <c r="B1182" s="4">
        <v>1969</v>
      </c>
      <c r="C1182" s="4"/>
      <c r="D1182" s="9">
        <v>13</v>
      </c>
      <c r="E1182" s="10" t="s">
        <v>603</v>
      </c>
      <c r="F1182" s="4">
        <v>11</v>
      </c>
      <c r="G1182" s="4" t="s">
        <v>2606</v>
      </c>
      <c r="H1182" s="4" t="s">
        <v>2607</v>
      </c>
    </row>
    <row r="1183" spans="1:8" ht="15.5" x14ac:dyDescent="0.35">
      <c r="A1183" s="4" t="s">
        <v>2584</v>
      </c>
      <c r="B1183" s="4">
        <v>1970</v>
      </c>
      <c r="C1183" s="4"/>
      <c r="D1183" s="9">
        <v>8</v>
      </c>
      <c r="E1183" s="10" t="s">
        <v>878</v>
      </c>
      <c r="F1183" s="4">
        <v>2</v>
      </c>
      <c r="G1183" s="4" t="s">
        <v>2608</v>
      </c>
      <c r="H1183" s="4" t="s">
        <v>2609</v>
      </c>
    </row>
    <row r="1184" spans="1:8" ht="15.5" x14ac:dyDescent="0.35">
      <c r="A1184" s="4" t="s">
        <v>2584</v>
      </c>
      <c r="B1184" s="4">
        <v>1971</v>
      </c>
      <c r="C1184" s="4"/>
      <c r="D1184" s="9">
        <v>78</v>
      </c>
      <c r="E1184" s="10" t="s">
        <v>761</v>
      </c>
      <c r="F1184" s="4">
        <v>4</v>
      </c>
      <c r="G1184" s="4" t="s">
        <v>2610</v>
      </c>
      <c r="H1184" s="4" t="s">
        <v>2611</v>
      </c>
    </row>
    <row r="1185" spans="1:8" ht="15.5" x14ac:dyDescent="0.35">
      <c r="A1185" s="4" t="s">
        <v>2584</v>
      </c>
      <c r="B1185" s="4">
        <v>1972</v>
      </c>
      <c r="C1185" s="4"/>
      <c r="D1185" s="9">
        <v>88</v>
      </c>
      <c r="E1185" s="10" t="s">
        <v>318</v>
      </c>
      <c r="F1185" s="4">
        <v>8</v>
      </c>
      <c r="G1185" s="4" t="s">
        <v>2612</v>
      </c>
      <c r="H1185" s="4" t="s">
        <v>2613</v>
      </c>
    </row>
    <row r="1186" spans="1:8" ht="15.5" x14ac:dyDescent="0.35">
      <c r="A1186" s="4" t="s">
        <v>2584</v>
      </c>
      <c r="B1186" s="4">
        <v>1973</v>
      </c>
      <c r="C1186" s="4"/>
      <c r="D1186" s="9">
        <v>79</v>
      </c>
      <c r="E1186" s="10" t="s">
        <v>750</v>
      </c>
      <c r="F1186" s="4">
        <v>8</v>
      </c>
      <c r="G1186" s="4" t="s">
        <v>2614</v>
      </c>
      <c r="H1186" s="4" t="s">
        <v>2615</v>
      </c>
    </row>
    <row r="1187" spans="1:8" ht="15.5" x14ac:dyDescent="0.35">
      <c r="A1187" s="4" t="s">
        <v>2584</v>
      </c>
      <c r="B1187" s="4">
        <v>1974</v>
      </c>
      <c r="C1187" s="4"/>
      <c r="D1187" s="9">
        <v>3</v>
      </c>
      <c r="E1187" s="10" t="s">
        <v>118</v>
      </c>
      <c r="F1187" s="4">
        <v>15</v>
      </c>
      <c r="G1187" s="4" t="s">
        <v>2616</v>
      </c>
      <c r="H1187" s="4" t="s">
        <v>2617</v>
      </c>
    </row>
    <row r="1188" spans="1:8" ht="15.5" x14ac:dyDescent="0.35">
      <c r="A1188" s="4" t="s">
        <v>2584</v>
      </c>
      <c r="B1188" s="4">
        <v>1975</v>
      </c>
      <c r="C1188" s="4"/>
      <c r="D1188" s="9">
        <v>77</v>
      </c>
      <c r="E1188" s="10" t="s">
        <v>620</v>
      </c>
      <c r="F1188" s="4">
        <v>7</v>
      </c>
      <c r="G1188" s="4" t="s">
        <v>2618</v>
      </c>
      <c r="H1188" s="4" t="s">
        <v>2619</v>
      </c>
    </row>
    <row r="1189" spans="1:8" ht="15.5" x14ac:dyDescent="0.35">
      <c r="A1189" s="4" t="s">
        <v>2584</v>
      </c>
      <c r="B1189" s="4">
        <v>1976</v>
      </c>
      <c r="C1189" s="4"/>
      <c r="D1189" s="9">
        <v>91</v>
      </c>
      <c r="E1189" s="10" t="s">
        <v>114</v>
      </c>
      <c r="F1189" s="4">
        <v>2</v>
      </c>
      <c r="G1189" s="4" t="s">
        <v>2610</v>
      </c>
      <c r="H1189" s="4" t="s">
        <v>2620</v>
      </c>
    </row>
    <row r="1190" spans="1:8" ht="15.5" x14ac:dyDescent="0.35">
      <c r="A1190" s="4" t="s">
        <v>2584</v>
      </c>
      <c r="B1190" s="4">
        <v>1977</v>
      </c>
      <c r="C1190" s="4"/>
      <c r="D1190" s="9">
        <v>71</v>
      </c>
      <c r="E1190" s="10" t="s">
        <v>1315</v>
      </c>
      <c r="F1190" s="4">
        <v>12</v>
      </c>
      <c r="G1190" s="4" t="s">
        <v>2621</v>
      </c>
      <c r="H1190" s="4" t="s">
        <v>2622</v>
      </c>
    </row>
    <row r="1191" spans="1:8" ht="15.5" x14ac:dyDescent="0.35">
      <c r="A1191" s="4" t="s">
        <v>2584</v>
      </c>
      <c r="B1191" s="4">
        <v>1978</v>
      </c>
      <c r="C1191" s="4"/>
      <c r="D1191" s="9">
        <v>65</v>
      </c>
      <c r="E1191" s="10" t="s">
        <v>150</v>
      </c>
      <c r="F1191" s="4">
        <v>9</v>
      </c>
      <c r="G1191" s="4" t="s">
        <v>2623</v>
      </c>
      <c r="H1191" s="4" t="s">
        <v>906</v>
      </c>
    </row>
    <row r="1192" spans="1:8" ht="15.5" x14ac:dyDescent="0.35">
      <c r="A1192" s="4" t="s">
        <v>2584</v>
      </c>
      <c r="B1192" s="4">
        <v>1979</v>
      </c>
      <c r="C1192" s="4"/>
      <c r="D1192" s="9">
        <v>60</v>
      </c>
      <c r="E1192" s="10" t="s">
        <v>909</v>
      </c>
      <c r="F1192" s="4">
        <v>8</v>
      </c>
      <c r="G1192" s="4" t="s">
        <v>2624</v>
      </c>
      <c r="H1192" s="4" t="s">
        <v>2625</v>
      </c>
    </row>
    <row r="1193" spans="1:8" ht="15.5" x14ac:dyDescent="0.35">
      <c r="A1193" s="4" t="s">
        <v>2584</v>
      </c>
      <c r="B1193" s="4">
        <v>1980</v>
      </c>
      <c r="C1193" s="4"/>
      <c r="D1193" s="9">
        <v>104</v>
      </c>
      <c r="E1193" s="10" t="s">
        <v>633</v>
      </c>
      <c r="F1193" s="4">
        <v>9</v>
      </c>
      <c r="G1193" s="4" t="s">
        <v>2626</v>
      </c>
      <c r="H1193" s="4" t="s">
        <v>2627</v>
      </c>
    </row>
    <row r="1194" spans="1:8" ht="15.5" x14ac:dyDescent="0.35">
      <c r="A1194" s="4" t="s">
        <v>2584</v>
      </c>
      <c r="B1194" s="4">
        <v>1981</v>
      </c>
      <c r="C1194" s="4"/>
      <c r="D1194" s="9">
        <v>121</v>
      </c>
      <c r="E1194" s="10" t="s">
        <v>1361</v>
      </c>
      <c r="F1194" s="4">
        <v>19</v>
      </c>
      <c r="G1194" s="4" t="s">
        <v>2610</v>
      </c>
      <c r="H1194" s="4" t="s">
        <v>2628</v>
      </c>
    </row>
    <row r="1195" spans="1:8" ht="15.5" x14ac:dyDescent="0.35">
      <c r="A1195" s="4" t="s">
        <v>2584</v>
      </c>
      <c r="B1195" s="4">
        <v>1982</v>
      </c>
      <c r="C1195" s="4"/>
      <c r="D1195" s="9">
        <v>97</v>
      </c>
      <c r="E1195" s="10" t="s">
        <v>867</v>
      </c>
      <c r="F1195" s="4">
        <v>7</v>
      </c>
      <c r="G1195" s="4" t="s">
        <v>2629</v>
      </c>
      <c r="H1195" s="4" t="s">
        <v>2630</v>
      </c>
    </row>
    <row r="1196" spans="1:8" ht="15.5" x14ac:dyDescent="0.35">
      <c r="A1196" s="4" t="s">
        <v>2584</v>
      </c>
      <c r="B1196" s="4">
        <v>1983</v>
      </c>
      <c r="C1196" s="4"/>
      <c r="D1196" s="9">
        <v>28</v>
      </c>
      <c r="E1196" s="10" t="s">
        <v>135</v>
      </c>
      <c r="F1196" s="4">
        <v>8</v>
      </c>
      <c r="G1196" s="4" t="s">
        <v>2631</v>
      </c>
      <c r="H1196" s="4" t="s">
        <v>2632</v>
      </c>
    </row>
    <row r="1197" spans="1:8" ht="15.5" x14ac:dyDescent="0.35">
      <c r="A1197" s="4" t="s">
        <v>2584</v>
      </c>
      <c r="B1197" s="4">
        <v>1984</v>
      </c>
      <c r="C1197" s="4"/>
      <c r="D1197" s="9">
        <v>30</v>
      </c>
      <c r="E1197" s="10" t="s">
        <v>518</v>
      </c>
      <c r="F1197" s="4">
        <v>17</v>
      </c>
      <c r="G1197" s="4" t="s">
        <v>2633</v>
      </c>
      <c r="H1197" s="4" t="s">
        <v>2634</v>
      </c>
    </row>
    <row r="1198" spans="1:8" ht="15.5" x14ac:dyDescent="0.35">
      <c r="A1198" s="4" t="s">
        <v>2584</v>
      </c>
      <c r="B1198" s="4">
        <v>1985</v>
      </c>
      <c r="C1198" s="4"/>
      <c r="D1198" s="9">
        <v>39</v>
      </c>
      <c r="E1198" s="10" t="s">
        <v>1736</v>
      </c>
      <c r="F1198" s="4">
        <v>15</v>
      </c>
      <c r="G1198" s="4" t="s">
        <v>2635</v>
      </c>
      <c r="H1198" s="4" t="s">
        <v>2636</v>
      </c>
    </row>
    <row r="1199" spans="1:8" ht="15.5" x14ac:dyDescent="0.35">
      <c r="A1199" s="4" t="s">
        <v>2584</v>
      </c>
      <c r="B1199" s="4">
        <v>1986</v>
      </c>
      <c r="C1199" s="4"/>
      <c r="D1199" s="9">
        <v>140</v>
      </c>
      <c r="E1199" s="10" t="s">
        <v>324</v>
      </c>
      <c r="F1199" s="4">
        <v>10</v>
      </c>
      <c r="G1199" s="4" t="s">
        <v>2637</v>
      </c>
      <c r="H1199" s="4" t="s">
        <v>2638</v>
      </c>
    </row>
    <row r="1200" spans="1:8" ht="15.5" x14ac:dyDescent="0.35">
      <c r="A1200" s="4" t="s">
        <v>2584</v>
      </c>
      <c r="B1200" s="4">
        <v>1987</v>
      </c>
      <c r="C1200" s="4"/>
      <c r="D1200" s="9">
        <v>26</v>
      </c>
      <c r="E1200" s="10" t="s">
        <v>2017</v>
      </c>
      <c r="F1200" s="4">
        <v>22</v>
      </c>
      <c r="G1200" s="4" t="s">
        <v>2639</v>
      </c>
      <c r="H1200" s="4" t="s">
        <v>2640</v>
      </c>
    </row>
    <row r="1201" spans="1:8" ht="15.5" x14ac:dyDescent="0.35">
      <c r="A1201" s="4" t="s">
        <v>2584</v>
      </c>
      <c r="B1201" s="4">
        <v>1988</v>
      </c>
      <c r="C1201" s="4"/>
      <c r="D1201" s="9">
        <v>137</v>
      </c>
      <c r="E1201" s="10" t="s">
        <v>2641</v>
      </c>
      <c r="F1201" s="4">
        <v>9</v>
      </c>
      <c r="G1201" s="4" t="s">
        <v>2642</v>
      </c>
      <c r="H1201" s="4" t="s">
        <v>2643</v>
      </c>
    </row>
    <row r="1202" spans="1:8" ht="15.5" x14ac:dyDescent="0.35">
      <c r="A1202" s="4" t="s">
        <v>2584</v>
      </c>
      <c r="B1202" s="4">
        <v>1989</v>
      </c>
      <c r="C1202" s="4"/>
      <c r="D1202" s="9">
        <v>47</v>
      </c>
      <c r="E1202" s="10" t="s">
        <v>1171</v>
      </c>
      <c r="F1202" s="4">
        <v>18</v>
      </c>
      <c r="G1202" s="4" t="s">
        <v>2644</v>
      </c>
      <c r="H1202" s="4" t="s">
        <v>2645</v>
      </c>
    </row>
    <row r="1203" spans="1:8" ht="15.5" x14ac:dyDescent="0.35">
      <c r="A1203" s="4" t="s">
        <v>2584</v>
      </c>
      <c r="B1203" s="4">
        <v>1990</v>
      </c>
      <c r="C1203" s="4"/>
      <c r="D1203" s="9">
        <v>51</v>
      </c>
      <c r="E1203" s="10" t="s">
        <v>346</v>
      </c>
      <c r="F1203" s="4">
        <v>12</v>
      </c>
      <c r="G1203" s="4" t="s">
        <v>2646</v>
      </c>
      <c r="H1203" s="4" t="s">
        <v>2647</v>
      </c>
    </row>
    <row r="1204" spans="1:8" ht="15.5" x14ac:dyDescent="0.35">
      <c r="A1204" s="4" t="s">
        <v>2584</v>
      </c>
      <c r="B1204" s="4">
        <v>1991</v>
      </c>
      <c r="C1204" s="4"/>
      <c r="D1204" s="9">
        <v>118</v>
      </c>
      <c r="E1204" s="10" t="s">
        <v>166</v>
      </c>
      <c r="F1204" s="4">
        <v>5</v>
      </c>
      <c r="G1204" s="4" t="s">
        <v>2648</v>
      </c>
      <c r="H1204" s="4" t="s">
        <v>2649</v>
      </c>
    </row>
    <row r="1205" spans="1:8" ht="15.5" x14ac:dyDescent="0.35">
      <c r="A1205" s="4" t="s">
        <v>2584</v>
      </c>
      <c r="B1205" s="4">
        <v>1992</v>
      </c>
      <c r="C1205" s="4"/>
      <c r="D1205" s="9">
        <v>32</v>
      </c>
      <c r="E1205" s="10" t="s">
        <v>1276</v>
      </c>
      <c r="F1205" s="4">
        <v>13</v>
      </c>
      <c r="G1205" s="4" t="s">
        <v>2650</v>
      </c>
      <c r="H1205" s="4" t="s">
        <v>2651</v>
      </c>
    </row>
    <row r="1206" spans="1:8" ht="15.5" x14ac:dyDescent="0.35">
      <c r="A1206" s="4" t="s">
        <v>2584</v>
      </c>
      <c r="B1206" s="4">
        <v>1993</v>
      </c>
      <c r="C1206" s="4"/>
      <c r="D1206" s="9">
        <v>148</v>
      </c>
      <c r="E1206" s="10" t="s">
        <v>225</v>
      </c>
      <c r="F1206" s="4">
        <v>4</v>
      </c>
      <c r="G1206" s="4" t="s">
        <v>2652</v>
      </c>
      <c r="H1206" s="4" t="s">
        <v>2653</v>
      </c>
    </row>
    <row r="1207" spans="1:8" ht="15.5" x14ac:dyDescent="0.35">
      <c r="A1207" s="4" t="s">
        <v>2584</v>
      </c>
      <c r="B1207" s="4">
        <v>1994</v>
      </c>
      <c r="C1207" s="4"/>
      <c r="D1207" s="9">
        <v>15</v>
      </c>
      <c r="E1207" s="10" t="s">
        <v>405</v>
      </c>
      <c r="F1207" s="4">
        <v>9</v>
      </c>
      <c r="G1207" s="4" t="s">
        <v>2654</v>
      </c>
      <c r="H1207" s="4" t="s">
        <v>2655</v>
      </c>
    </row>
    <row r="1208" spans="1:8" ht="15.5" x14ac:dyDescent="0.35">
      <c r="A1208" s="4" t="s">
        <v>2584</v>
      </c>
      <c r="B1208" s="4">
        <v>1996</v>
      </c>
      <c r="C1208" s="4"/>
      <c r="D1208" s="9">
        <v>22</v>
      </c>
      <c r="E1208" s="10" t="s">
        <v>369</v>
      </c>
      <c r="F1208" s="4">
        <v>9</v>
      </c>
      <c r="G1208" s="4" t="s">
        <v>2656</v>
      </c>
      <c r="H1208" s="4" t="s">
        <v>2657</v>
      </c>
    </row>
    <row r="1209" spans="1:8" ht="15.5" x14ac:dyDescent="0.35">
      <c r="A1209" s="4" t="s">
        <v>2584</v>
      </c>
      <c r="B1209" s="4">
        <v>1997</v>
      </c>
      <c r="C1209" s="4"/>
      <c r="D1209" s="9">
        <v>5</v>
      </c>
      <c r="E1209" s="10" t="s">
        <v>588</v>
      </c>
      <c r="F1209" s="4">
        <v>7</v>
      </c>
      <c r="G1209" s="4" t="s">
        <v>2658</v>
      </c>
      <c r="H1209" s="4" t="s">
        <v>2659</v>
      </c>
    </row>
    <row r="1210" spans="1:8" ht="15.5" x14ac:dyDescent="0.35">
      <c r="A1210" s="4" t="s">
        <v>2584</v>
      </c>
      <c r="B1210" s="4">
        <v>1998</v>
      </c>
      <c r="C1210" s="4"/>
      <c r="D1210" s="9">
        <v>0</v>
      </c>
      <c r="E1210" s="10" t="s">
        <v>364</v>
      </c>
      <c r="F1210" s="4">
        <v>5</v>
      </c>
      <c r="G1210" s="4" t="s">
        <v>2660</v>
      </c>
      <c r="H1210" s="4" t="s">
        <v>2661</v>
      </c>
    </row>
    <row r="1211" spans="1:8" ht="15.5" x14ac:dyDescent="0.35">
      <c r="A1211" s="4" t="s">
        <v>2584</v>
      </c>
      <c r="B1211" s="4">
        <v>2000</v>
      </c>
      <c r="C1211" s="4"/>
      <c r="D1211" s="9">
        <v>14</v>
      </c>
      <c r="E1211" s="10" t="s">
        <v>821</v>
      </c>
      <c r="F1211" s="4">
        <v>16</v>
      </c>
      <c r="G1211" s="4" t="s">
        <v>2662</v>
      </c>
      <c r="H1211" s="4" t="s">
        <v>2663</v>
      </c>
    </row>
    <row r="1212" spans="1:8" ht="15.5" x14ac:dyDescent="0.35">
      <c r="A1212" s="4" t="s">
        <v>2584</v>
      </c>
      <c r="B1212" s="4">
        <v>2002</v>
      </c>
      <c r="C1212" s="4"/>
      <c r="D1212" s="9">
        <v>15</v>
      </c>
      <c r="E1212" s="10" t="s">
        <v>386</v>
      </c>
      <c r="F1212" s="4">
        <v>11</v>
      </c>
      <c r="G1212" s="4" t="s">
        <v>2664</v>
      </c>
      <c r="H1212" s="4" t="s">
        <v>2665</v>
      </c>
    </row>
    <row r="1213" spans="1:8" ht="15.5" x14ac:dyDescent="0.35">
      <c r="A1213" s="4" t="s">
        <v>2584</v>
      </c>
      <c r="B1213" s="4">
        <v>2005</v>
      </c>
      <c r="C1213" s="4" t="s">
        <v>9</v>
      </c>
      <c r="D1213" s="9">
        <v>128</v>
      </c>
      <c r="E1213" s="10" t="s">
        <v>40</v>
      </c>
      <c r="F1213" s="4">
        <v>22</v>
      </c>
      <c r="G1213" s="4" t="s">
        <v>2666</v>
      </c>
      <c r="H1213" s="4" t="s">
        <v>2667</v>
      </c>
    </row>
    <row r="1214" spans="1:8" ht="15.5" x14ac:dyDescent="0.35">
      <c r="A1214" s="4" t="s">
        <v>2584</v>
      </c>
      <c r="B1214" s="4">
        <v>2006</v>
      </c>
      <c r="C1214" s="4" t="s">
        <v>9</v>
      </c>
      <c r="D1214" s="9">
        <v>30</v>
      </c>
      <c r="E1214" s="10" t="s">
        <v>13</v>
      </c>
      <c r="F1214" s="4">
        <v>1</v>
      </c>
      <c r="G1214" s="4" t="s">
        <v>2668</v>
      </c>
      <c r="H1214" s="4" t="s">
        <v>2669</v>
      </c>
    </row>
    <row r="1215" spans="1:8" ht="15.5" x14ac:dyDescent="0.35">
      <c r="A1215" s="4" t="s">
        <v>2584</v>
      </c>
      <c r="B1215" s="4">
        <v>2011</v>
      </c>
      <c r="C1215" s="4" t="s">
        <v>9</v>
      </c>
      <c r="D1215" s="9">
        <v>19</v>
      </c>
      <c r="E1215" s="10" t="s">
        <v>364</v>
      </c>
      <c r="F1215" s="4">
        <v>13</v>
      </c>
      <c r="G1215" s="4" t="s">
        <v>2670</v>
      </c>
      <c r="H1215" s="4" t="s">
        <v>2671</v>
      </c>
    </row>
    <row r="1216" spans="1:8" ht="15.5" x14ac:dyDescent="0.35">
      <c r="A1216" s="4" t="s">
        <v>2584</v>
      </c>
      <c r="B1216" s="4">
        <v>2014</v>
      </c>
      <c r="C1216" s="4" t="s">
        <v>9</v>
      </c>
      <c r="D1216" s="9">
        <v>64</v>
      </c>
      <c r="E1216" s="10" t="s">
        <v>212</v>
      </c>
      <c r="F1216" s="4">
        <v>20</v>
      </c>
      <c r="G1216" s="4" t="s">
        <v>2672</v>
      </c>
      <c r="H1216" s="4" t="s">
        <v>2673</v>
      </c>
    </row>
    <row r="1217" spans="1:8" ht="15.5" x14ac:dyDescent="0.35">
      <c r="A1217" s="4" t="s">
        <v>2584</v>
      </c>
      <c r="B1217" s="4">
        <v>2019</v>
      </c>
      <c r="C1217" s="4" t="s">
        <v>9</v>
      </c>
      <c r="D1217" s="9">
        <v>364</v>
      </c>
      <c r="E1217" s="10" t="s">
        <v>57</v>
      </c>
      <c r="F1217" s="4">
        <v>24</v>
      </c>
      <c r="G1217" s="4" t="s">
        <v>2674</v>
      </c>
      <c r="H1217" s="4" t="s">
        <v>2675</v>
      </c>
    </row>
    <row r="1218" spans="1:8" ht="15.5" x14ac:dyDescent="0.35">
      <c r="A1218" s="4" t="s">
        <v>2584</v>
      </c>
      <c r="B1218" s="4">
        <v>2021</v>
      </c>
      <c r="C1218" s="4" t="s">
        <v>9</v>
      </c>
      <c r="D1218" s="9">
        <v>432</v>
      </c>
      <c r="E1218" s="10" t="s">
        <v>218</v>
      </c>
      <c r="F1218" s="4">
        <v>11</v>
      </c>
      <c r="G1218" s="4" t="s">
        <v>2676</v>
      </c>
      <c r="H1218" s="4" t="s">
        <v>2677</v>
      </c>
    </row>
    <row r="1219" spans="1:8" ht="15.5" x14ac:dyDescent="0.35">
      <c r="A1219" s="4" t="s">
        <v>2584</v>
      </c>
      <c r="B1219" s="4">
        <v>2022</v>
      </c>
      <c r="C1219" s="4" t="s">
        <v>9</v>
      </c>
      <c r="D1219" s="9">
        <v>78</v>
      </c>
      <c r="E1219" s="10" t="s">
        <v>16</v>
      </c>
      <c r="F1219" s="4">
        <v>5</v>
      </c>
      <c r="G1219" s="4" t="s">
        <v>2678</v>
      </c>
      <c r="H1219" s="4" t="s">
        <v>2679</v>
      </c>
    </row>
    <row r="1220" spans="1:8" ht="15.5" x14ac:dyDescent="0.35">
      <c r="A1220" s="4" t="s">
        <v>2680</v>
      </c>
      <c r="B1220" s="4">
        <v>1975</v>
      </c>
      <c r="C1220" s="4"/>
      <c r="D1220" s="9">
        <v>3</v>
      </c>
      <c r="E1220" s="10" t="s">
        <v>153</v>
      </c>
      <c r="F1220" s="4">
        <v>13</v>
      </c>
      <c r="G1220" s="4" t="s">
        <v>2681</v>
      </c>
      <c r="H1220" s="4" t="s">
        <v>2682</v>
      </c>
    </row>
    <row r="1221" spans="1:8" ht="15.5" x14ac:dyDescent="0.35">
      <c r="A1221" s="4" t="s">
        <v>2680</v>
      </c>
      <c r="B1221" s="4">
        <v>1978</v>
      </c>
      <c r="C1221" s="4"/>
      <c r="D1221" s="9">
        <v>2</v>
      </c>
      <c r="E1221" s="10" t="s">
        <v>158</v>
      </c>
      <c r="F1221" s="4">
        <v>12</v>
      </c>
      <c r="G1221" s="4" t="s">
        <v>2683</v>
      </c>
      <c r="H1221" s="4" t="s">
        <v>2684</v>
      </c>
    </row>
    <row r="1222" spans="1:8" ht="15.5" x14ac:dyDescent="0.35">
      <c r="A1222" s="4" t="s">
        <v>2680</v>
      </c>
      <c r="B1222" s="4">
        <v>1980</v>
      </c>
      <c r="C1222" s="4"/>
      <c r="D1222" s="9">
        <v>23</v>
      </c>
      <c r="E1222" s="10" t="s">
        <v>315</v>
      </c>
      <c r="F1222" s="4">
        <v>2</v>
      </c>
      <c r="G1222" s="4" t="s">
        <v>2685</v>
      </c>
      <c r="H1222" s="4" t="s">
        <v>2686</v>
      </c>
    </row>
    <row r="1223" spans="1:8" ht="15.5" x14ac:dyDescent="0.35">
      <c r="A1223" s="4" t="s">
        <v>2680</v>
      </c>
      <c r="B1223" s="4">
        <v>1981</v>
      </c>
      <c r="C1223" s="4"/>
      <c r="D1223" s="9">
        <v>9</v>
      </c>
      <c r="E1223" s="10" t="s">
        <v>158</v>
      </c>
      <c r="F1223" s="4">
        <v>2</v>
      </c>
      <c r="G1223" s="4" t="s">
        <v>2687</v>
      </c>
      <c r="H1223" s="4" t="s">
        <v>2688</v>
      </c>
    </row>
    <row r="1224" spans="1:8" ht="15.5" x14ac:dyDescent="0.35">
      <c r="A1224" s="4" t="s">
        <v>2680</v>
      </c>
      <c r="B1224" s="4">
        <v>1982</v>
      </c>
      <c r="C1224" s="4"/>
      <c r="D1224" s="9">
        <v>20</v>
      </c>
      <c r="E1224" s="10" t="s">
        <v>290</v>
      </c>
      <c r="F1224" s="4">
        <v>5</v>
      </c>
      <c r="G1224" s="4" t="s">
        <v>2689</v>
      </c>
      <c r="H1224" s="4" t="s">
        <v>2690</v>
      </c>
    </row>
    <row r="1225" spans="1:8" ht="15.5" x14ac:dyDescent="0.35">
      <c r="A1225" s="4" t="s">
        <v>2680</v>
      </c>
      <c r="B1225" s="4">
        <v>1983</v>
      </c>
      <c r="C1225" s="4"/>
      <c r="D1225" s="9">
        <v>0</v>
      </c>
      <c r="E1225" s="10" t="s">
        <v>1435</v>
      </c>
      <c r="F1225" s="4">
        <v>6</v>
      </c>
      <c r="G1225" s="4" t="s">
        <v>2691</v>
      </c>
      <c r="H1225" s="4" t="s">
        <v>2692</v>
      </c>
    </row>
    <row r="1226" spans="1:8" ht="15.5" x14ac:dyDescent="0.35">
      <c r="A1226" s="4" t="s">
        <v>2680</v>
      </c>
      <c r="B1226" s="4">
        <v>1984</v>
      </c>
      <c r="C1226" s="4"/>
      <c r="D1226" s="9">
        <v>37</v>
      </c>
      <c r="E1226" s="10" t="s">
        <v>1736</v>
      </c>
      <c r="F1226" s="4">
        <v>15</v>
      </c>
      <c r="G1226" s="4" t="s">
        <v>2693</v>
      </c>
      <c r="H1226" s="4" t="s">
        <v>2694</v>
      </c>
    </row>
    <row r="1227" spans="1:8" ht="15.5" x14ac:dyDescent="0.35">
      <c r="A1227" s="4" t="s">
        <v>2680</v>
      </c>
      <c r="B1227" s="4">
        <v>1985</v>
      </c>
      <c r="C1227" s="4"/>
      <c r="D1227" s="9">
        <v>36</v>
      </c>
      <c r="E1227" s="10" t="s">
        <v>623</v>
      </c>
      <c r="F1227" s="4">
        <v>7</v>
      </c>
      <c r="G1227" s="4" t="s">
        <v>2695</v>
      </c>
      <c r="H1227" s="4" t="s">
        <v>2696</v>
      </c>
    </row>
    <row r="1228" spans="1:8" ht="15.5" x14ac:dyDescent="0.35">
      <c r="A1228" s="4" t="s">
        <v>2680</v>
      </c>
      <c r="B1228" s="4">
        <v>1986</v>
      </c>
      <c r="C1228" s="4"/>
      <c r="D1228" s="9">
        <v>53</v>
      </c>
      <c r="E1228" s="10" t="s">
        <v>150</v>
      </c>
      <c r="F1228" s="4">
        <v>8</v>
      </c>
      <c r="G1228" s="4" t="s">
        <v>2697</v>
      </c>
      <c r="H1228" s="4" t="s">
        <v>2698</v>
      </c>
    </row>
    <row r="1229" spans="1:8" ht="15.5" x14ac:dyDescent="0.35">
      <c r="A1229" s="4" t="s">
        <v>2680</v>
      </c>
      <c r="B1229" s="4">
        <v>1987</v>
      </c>
      <c r="C1229" s="4"/>
      <c r="D1229" s="9">
        <v>0</v>
      </c>
      <c r="E1229" s="10" t="s">
        <v>172</v>
      </c>
      <c r="F1229" s="4">
        <v>10</v>
      </c>
      <c r="G1229" s="4" t="s">
        <v>2699</v>
      </c>
      <c r="H1229" s="4" t="s">
        <v>2700</v>
      </c>
    </row>
    <row r="1230" spans="1:8" ht="15.5" x14ac:dyDescent="0.35">
      <c r="A1230" s="4" t="s">
        <v>2680</v>
      </c>
      <c r="B1230" s="4">
        <v>1988</v>
      </c>
      <c r="C1230" s="4"/>
      <c r="D1230" s="9">
        <v>37</v>
      </c>
      <c r="E1230" s="10" t="s">
        <v>2701</v>
      </c>
      <c r="F1230" s="4">
        <v>5</v>
      </c>
      <c r="G1230" s="4" t="s">
        <v>2695</v>
      </c>
      <c r="H1230" s="4" t="s">
        <v>2702</v>
      </c>
    </row>
    <row r="1231" spans="1:8" ht="15.5" x14ac:dyDescent="0.35">
      <c r="A1231" s="4" t="s">
        <v>2680</v>
      </c>
      <c r="B1231" s="4">
        <v>1989</v>
      </c>
      <c r="C1231" s="4"/>
      <c r="D1231" s="9">
        <v>5</v>
      </c>
      <c r="E1231" s="10" t="s">
        <v>804</v>
      </c>
      <c r="F1231" s="4">
        <v>5</v>
      </c>
      <c r="G1231" s="4" t="s">
        <v>2703</v>
      </c>
      <c r="H1231" s="4" t="s">
        <v>2704</v>
      </c>
    </row>
    <row r="1232" spans="1:8" ht="15.5" x14ac:dyDescent="0.35">
      <c r="A1232" s="4" t="s">
        <v>2680</v>
      </c>
      <c r="B1232" s="4">
        <v>1990</v>
      </c>
      <c r="C1232" s="4"/>
      <c r="D1232" s="9">
        <v>21</v>
      </c>
      <c r="E1232" s="10" t="s">
        <v>2017</v>
      </c>
      <c r="F1232" s="4">
        <v>4</v>
      </c>
      <c r="G1232" s="4" t="s">
        <v>2705</v>
      </c>
      <c r="H1232" s="4" t="s">
        <v>2706</v>
      </c>
    </row>
    <row r="1233" spans="1:8" ht="15.5" x14ac:dyDescent="0.35">
      <c r="A1233" s="4" t="s">
        <v>2680</v>
      </c>
      <c r="B1233" s="4">
        <v>1991</v>
      </c>
      <c r="C1233" s="4"/>
      <c r="D1233" s="9">
        <v>44</v>
      </c>
      <c r="E1233" s="10" t="s">
        <v>355</v>
      </c>
      <c r="F1233" s="4">
        <v>10</v>
      </c>
      <c r="G1233" s="4" t="s">
        <v>2707</v>
      </c>
      <c r="H1233" s="4" t="s">
        <v>2708</v>
      </c>
    </row>
    <row r="1234" spans="1:8" ht="15.5" x14ac:dyDescent="0.35">
      <c r="A1234" s="4" t="s">
        <v>2680</v>
      </c>
      <c r="B1234" s="4">
        <v>1992</v>
      </c>
      <c r="C1234" s="4"/>
      <c r="D1234" s="9">
        <v>17</v>
      </c>
      <c r="E1234" s="10" t="s">
        <v>413</v>
      </c>
      <c r="F1234" s="4">
        <v>4</v>
      </c>
      <c r="G1234" s="4" t="s">
        <v>2709</v>
      </c>
      <c r="H1234" s="4" t="s">
        <v>2710</v>
      </c>
    </row>
    <row r="1235" spans="1:8" ht="15.5" x14ac:dyDescent="0.35">
      <c r="A1235" s="4" t="s">
        <v>2680</v>
      </c>
      <c r="B1235" s="4">
        <v>1993</v>
      </c>
      <c r="C1235" s="4"/>
      <c r="D1235" s="9">
        <v>10</v>
      </c>
      <c r="E1235" s="10" t="s">
        <v>186</v>
      </c>
      <c r="F1235" s="4">
        <v>2</v>
      </c>
      <c r="G1235" s="4" t="s">
        <v>2711</v>
      </c>
      <c r="H1235" s="4" t="s">
        <v>2712</v>
      </c>
    </row>
    <row r="1236" spans="1:8" ht="15.5" x14ac:dyDescent="0.35">
      <c r="A1236" s="4" t="s">
        <v>2680</v>
      </c>
      <c r="B1236" s="4">
        <v>1995</v>
      </c>
      <c r="C1236" s="4"/>
      <c r="D1236" s="9">
        <v>21</v>
      </c>
      <c r="E1236" s="10" t="s">
        <v>369</v>
      </c>
      <c r="F1236" s="4">
        <v>10</v>
      </c>
      <c r="G1236" s="4" t="s">
        <v>2713</v>
      </c>
      <c r="H1236" s="4" t="s">
        <v>2714</v>
      </c>
    </row>
    <row r="1237" spans="1:8" ht="15.5" x14ac:dyDescent="0.35">
      <c r="A1237" s="4" t="s">
        <v>2680</v>
      </c>
      <c r="B1237" s="4">
        <v>1996</v>
      </c>
      <c r="C1237" s="4"/>
      <c r="D1237" s="9">
        <v>57</v>
      </c>
      <c r="E1237" s="10" t="s">
        <v>375</v>
      </c>
      <c r="F1237" s="4">
        <v>1</v>
      </c>
      <c r="G1237" s="4" t="s">
        <v>2715</v>
      </c>
      <c r="H1237" s="4" t="s">
        <v>2716</v>
      </c>
    </row>
    <row r="1238" spans="1:8" ht="15.5" x14ac:dyDescent="0.35">
      <c r="A1238" s="4" t="s">
        <v>2680</v>
      </c>
      <c r="B1238" s="4">
        <v>1997</v>
      </c>
      <c r="C1238" s="4"/>
      <c r="D1238" s="9">
        <v>121</v>
      </c>
      <c r="E1238" s="10" t="s">
        <v>225</v>
      </c>
      <c r="F1238" s="4">
        <v>2</v>
      </c>
      <c r="G1238" s="4" t="s">
        <v>2717</v>
      </c>
      <c r="H1238" s="4" t="s">
        <v>2718</v>
      </c>
    </row>
    <row r="1239" spans="1:8" ht="15.5" x14ac:dyDescent="0.35">
      <c r="A1239" s="4" t="s">
        <v>2680</v>
      </c>
      <c r="B1239" s="4">
        <v>1998</v>
      </c>
      <c r="C1239" s="4"/>
      <c r="D1239" s="9">
        <v>25</v>
      </c>
      <c r="E1239" s="10" t="s">
        <v>177</v>
      </c>
      <c r="F1239" s="4">
        <v>24</v>
      </c>
      <c r="G1239" s="4" t="s">
        <v>2719</v>
      </c>
      <c r="H1239" s="4" t="s">
        <v>2720</v>
      </c>
    </row>
    <row r="1240" spans="1:8" ht="15.5" x14ac:dyDescent="0.35">
      <c r="A1240" s="4" t="s">
        <v>2680</v>
      </c>
      <c r="B1240" s="4">
        <v>1999</v>
      </c>
      <c r="C1240" s="4"/>
      <c r="D1240" s="9">
        <v>21</v>
      </c>
      <c r="E1240" s="10" t="s">
        <v>369</v>
      </c>
      <c r="F1240" s="4">
        <v>7</v>
      </c>
      <c r="G1240" s="4" t="s">
        <v>2721</v>
      </c>
      <c r="H1240" s="4" t="s">
        <v>2722</v>
      </c>
    </row>
    <row r="1241" spans="1:8" ht="15.5" x14ac:dyDescent="0.35">
      <c r="A1241" s="4" t="s">
        <v>2680</v>
      </c>
      <c r="B1241" s="4">
        <v>2000</v>
      </c>
      <c r="C1241" s="4"/>
      <c r="D1241" s="9">
        <v>59</v>
      </c>
      <c r="E1241" s="10" t="s">
        <v>1399</v>
      </c>
      <c r="F1241" s="4">
        <v>22</v>
      </c>
      <c r="G1241" s="4" t="s">
        <v>2723</v>
      </c>
      <c r="H1241" s="4" t="s">
        <v>2724</v>
      </c>
    </row>
    <row r="1242" spans="1:8" ht="15.5" x14ac:dyDescent="0.35">
      <c r="A1242" s="4" t="s">
        <v>2680</v>
      </c>
      <c r="B1242" s="4">
        <v>2001</v>
      </c>
      <c r="C1242" s="4"/>
      <c r="D1242" s="9">
        <v>41</v>
      </c>
      <c r="E1242" s="10" t="s">
        <v>535</v>
      </c>
      <c r="F1242" s="4">
        <v>15</v>
      </c>
      <c r="G1242" s="4" t="s">
        <v>2725</v>
      </c>
      <c r="H1242" s="4" t="s">
        <v>2726</v>
      </c>
    </row>
    <row r="1243" spans="1:8" ht="15.5" x14ac:dyDescent="0.35">
      <c r="A1243" s="4" t="s">
        <v>2680</v>
      </c>
      <c r="B1243" s="4">
        <v>2002</v>
      </c>
      <c r="C1243" s="4"/>
      <c r="D1243" s="9">
        <v>29</v>
      </c>
      <c r="E1243" s="10" t="s">
        <v>13</v>
      </c>
      <c r="F1243" s="4">
        <v>19</v>
      </c>
      <c r="G1243" s="4" t="s">
        <v>2727</v>
      </c>
      <c r="H1243" s="4" t="s">
        <v>2728</v>
      </c>
    </row>
    <row r="1244" spans="1:8" ht="15.5" x14ac:dyDescent="0.35">
      <c r="A1244" s="4" t="s">
        <v>2680</v>
      </c>
      <c r="B1244" s="4">
        <v>2003</v>
      </c>
      <c r="C1244" s="4"/>
      <c r="D1244" s="9">
        <v>167</v>
      </c>
      <c r="E1244" s="10" t="s">
        <v>206</v>
      </c>
      <c r="F1244" s="4">
        <v>4</v>
      </c>
      <c r="G1244" s="4" t="s">
        <v>2729</v>
      </c>
      <c r="H1244" s="4" t="s">
        <v>2730</v>
      </c>
    </row>
    <row r="1245" spans="1:8" ht="15.5" x14ac:dyDescent="0.35">
      <c r="A1245" s="4" t="s">
        <v>2680</v>
      </c>
      <c r="B1245" s="4">
        <v>2004</v>
      </c>
      <c r="C1245" s="4" t="s">
        <v>9</v>
      </c>
      <c r="D1245" s="9">
        <v>195</v>
      </c>
      <c r="E1245" s="10" t="s">
        <v>709</v>
      </c>
      <c r="F1245" s="4">
        <v>22</v>
      </c>
      <c r="G1245" s="4" t="s">
        <v>2731</v>
      </c>
      <c r="H1245" s="4" t="s">
        <v>2732</v>
      </c>
    </row>
    <row r="1246" spans="1:8" ht="15.5" x14ac:dyDescent="0.35">
      <c r="A1246" s="4" t="s">
        <v>2680</v>
      </c>
      <c r="B1246" s="4">
        <v>2005</v>
      </c>
      <c r="C1246" s="4" t="s">
        <v>9</v>
      </c>
      <c r="D1246" s="9">
        <v>92</v>
      </c>
      <c r="E1246" s="10" t="s">
        <v>381</v>
      </c>
      <c r="F1246" s="4">
        <v>6</v>
      </c>
      <c r="G1246" s="4" t="s">
        <v>2733</v>
      </c>
      <c r="H1246" s="4" t="s">
        <v>2734</v>
      </c>
    </row>
    <row r="1247" spans="1:8" ht="15.5" x14ac:dyDescent="0.35">
      <c r="A1247" s="4" t="s">
        <v>2680</v>
      </c>
      <c r="B1247" s="4">
        <v>2006</v>
      </c>
      <c r="C1247" s="4" t="s">
        <v>9</v>
      </c>
      <c r="D1247" s="9">
        <v>91</v>
      </c>
      <c r="E1247" s="10" t="s">
        <v>439</v>
      </c>
      <c r="F1247" s="4">
        <v>23</v>
      </c>
      <c r="G1247" s="4" t="s">
        <v>2735</v>
      </c>
      <c r="H1247" s="4" t="s">
        <v>2736</v>
      </c>
    </row>
    <row r="1248" spans="1:8" ht="15.5" x14ac:dyDescent="0.35">
      <c r="A1248" s="4" t="s">
        <v>2680</v>
      </c>
      <c r="B1248" s="4">
        <v>2007</v>
      </c>
      <c r="C1248" s="4" t="s">
        <v>9</v>
      </c>
      <c r="D1248" s="9">
        <v>163</v>
      </c>
      <c r="E1248" s="10" t="s">
        <v>709</v>
      </c>
      <c r="F1248" s="4">
        <v>22</v>
      </c>
      <c r="G1248" s="4" t="s">
        <v>2737</v>
      </c>
      <c r="H1248" s="4" t="s">
        <v>2738</v>
      </c>
    </row>
    <row r="1249" spans="1:8" ht="15.5" x14ac:dyDescent="0.35">
      <c r="A1249" s="4" t="s">
        <v>2680</v>
      </c>
      <c r="B1249" s="4">
        <v>2008</v>
      </c>
      <c r="C1249" s="4" t="s">
        <v>9</v>
      </c>
      <c r="D1249" s="9">
        <v>138</v>
      </c>
      <c r="E1249" s="10" t="s">
        <v>51</v>
      </c>
      <c r="F1249" s="4">
        <v>12</v>
      </c>
      <c r="G1249" s="4" t="s">
        <v>2739</v>
      </c>
      <c r="H1249" s="4" t="s">
        <v>2740</v>
      </c>
    </row>
    <row r="1250" spans="1:8" ht="15.5" x14ac:dyDescent="0.35">
      <c r="A1250" s="4" t="s">
        <v>2680</v>
      </c>
      <c r="B1250" s="4">
        <v>2009</v>
      </c>
      <c r="C1250" s="4" t="s">
        <v>9</v>
      </c>
      <c r="D1250" s="9">
        <v>177</v>
      </c>
      <c r="E1250" s="10" t="s">
        <v>45</v>
      </c>
      <c r="F1250" s="4">
        <v>18</v>
      </c>
      <c r="G1250" s="4" t="s">
        <v>2741</v>
      </c>
      <c r="H1250" s="4" t="s">
        <v>2742</v>
      </c>
    </row>
    <row r="1251" spans="1:8" ht="15.5" x14ac:dyDescent="0.35">
      <c r="A1251" s="4" t="s">
        <v>2680</v>
      </c>
      <c r="B1251" s="4">
        <v>2010</v>
      </c>
      <c r="C1251" s="4" t="s">
        <v>9</v>
      </c>
      <c r="D1251" s="9">
        <v>170</v>
      </c>
      <c r="E1251" s="10" t="s">
        <v>1295</v>
      </c>
      <c r="F1251" s="4">
        <v>14</v>
      </c>
      <c r="G1251" s="4" t="s">
        <v>2743</v>
      </c>
      <c r="H1251" s="4" t="s">
        <v>2744</v>
      </c>
    </row>
    <row r="1252" spans="1:8" ht="15.5" x14ac:dyDescent="0.35">
      <c r="A1252" s="4" t="s">
        <v>2680</v>
      </c>
      <c r="B1252" s="4">
        <v>2012</v>
      </c>
      <c r="C1252" s="4" t="s">
        <v>9</v>
      </c>
      <c r="D1252" s="9">
        <v>112</v>
      </c>
      <c r="E1252" s="10" t="s">
        <v>63</v>
      </c>
      <c r="F1252" s="4">
        <v>18</v>
      </c>
      <c r="G1252" s="4" t="s">
        <v>2745</v>
      </c>
      <c r="H1252" s="4" t="s">
        <v>2746</v>
      </c>
    </row>
    <row r="1253" spans="1:8" ht="15.5" x14ac:dyDescent="0.35">
      <c r="A1253" s="4" t="s">
        <v>2747</v>
      </c>
      <c r="B1253" s="4">
        <v>2003</v>
      </c>
      <c r="C1253" s="4"/>
      <c r="D1253" s="9">
        <v>30</v>
      </c>
      <c r="E1253" s="10" t="s">
        <v>246</v>
      </c>
      <c r="F1253" s="4">
        <v>16</v>
      </c>
      <c r="G1253" s="4" t="s">
        <v>2748</v>
      </c>
      <c r="H1253" s="4" t="s">
        <v>2749</v>
      </c>
    </row>
    <row r="1254" spans="1:8" ht="15.5" x14ac:dyDescent="0.35">
      <c r="A1254" s="4" t="s">
        <v>2747</v>
      </c>
      <c r="B1254" s="4">
        <v>2004</v>
      </c>
      <c r="C1254" s="4" t="s">
        <v>9</v>
      </c>
      <c r="D1254" s="9">
        <v>280</v>
      </c>
      <c r="E1254" s="10" t="s">
        <v>664</v>
      </c>
      <c r="F1254" s="4">
        <v>10</v>
      </c>
      <c r="G1254" s="4" t="s">
        <v>2750</v>
      </c>
      <c r="H1254" s="4" t="s">
        <v>2751</v>
      </c>
    </row>
    <row r="1255" spans="1:8" ht="15.5" x14ac:dyDescent="0.35">
      <c r="A1255" s="4" t="s">
        <v>2747</v>
      </c>
      <c r="B1255" s="4">
        <v>2005</v>
      </c>
      <c r="C1255" s="4" t="s">
        <v>9</v>
      </c>
      <c r="D1255" s="9">
        <v>30</v>
      </c>
      <c r="E1255" s="10" t="s">
        <v>1110</v>
      </c>
      <c r="F1255" s="4">
        <v>16</v>
      </c>
      <c r="G1255" s="4" t="s">
        <v>2752</v>
      </c>
      <c r="H1255" s="4" t="s">
        <v>2753</v>
      </c>
    </row>
    <row r="1256" spans="1:8" ht="15.5" x14ac:dyDescent="0.35">
      <c r="A1256" s="4" t="s">
        <v>2747</v>
      </c>
      <c r="B1256" s="4">
        <v>2006</v>
      </c>
      <c r="C1256" s="4" t="s">
        <v>9</v>
      </c>
      <c r="D1256" s="9">
        <v>145</v>
      </c>
      <c r="E1256" s="10" t="s">
        <v>10</v>
      </c>
      <c r="F1256" s="4">
        <v>18</v>
      </c>
      <c r="G1256" s="4" t="s">
        <v>2754</v>
      </c>
      <c r="H1256" s="4" t="s">
        <v>2755</v>
      </c>
    </row>
    <row r="1257" spans="1:8" ht="15.5" x14ac:dyDescent="0.35">
      <c r="A1257" s="4" t="s">
        <v>2747</v>
      </c>
      <c r="B1257" s="4">
        <v>2007</v>
      </c>
      <c r="C1257" s="4" t="s">
        <v>9</v>
      </c>
      <c r="D1257" s="9">
        <v>235</v>
      </c>
      <c r="E1257" s="10" t="s">
        <v>1761</v>
      </c>
      <c r="F1257" s="4">
        <v>18</v>
      </c>
      <c r="G1257" s="4" t="s">
        <v>2756</v>
      </c>
      <c r="H1257" s="4" t="s">
        <v>2757</v>
      </c>
    </row>
    <row r="1258" spans="1:8" ht="15.5" x14ac:dyDescent="0.35">
      <c r="A1258" s="4" t="s">
        <v>2747</v>
      </c>
      <c r="B1258" s="4">
        <v>2008</v>
      </c>
      <c r="C1258" s="4" t="s">
        <v>9</v>
      </c>
      <c r="D1258" s="9">
        <v>230</v>
      </c>
      <c r="E1258" s="10" t="s">
        <v>1295</v>
      </c>
      <c r="F1258" s="4">
        <v>18</v>
      </c>
      <c r="G1258" s="4" t="s">
        <v>2758</v>
      </c>
      <c r="H1258" s="4" t="s">
        <v>2759</v>
      </c>
    </row>
    <row r="1259" spans="1:8" ht="15.5" x14ac:dyDescent="0.35">
      <c r="A1259" s="4" t="s">
        <v>2747</v>
      </c>
      <c r="B1259" s="4">
        <v>2009</v>
      </c>
      <c r="C1259" s="4" t="s">
        <v>9</v>
      </c>
      <c r="D1259" s="9">
        <v>76</v>
      </c>
      <c r="E1259" s="10" t="s">
        <v>704</v>
      </c>
      <c r="F1259" s="4">
        <v>21</v>
      </c>
      <c r="G1259" s="4" t="s">
        <v>2760</v>
      </c>
      <c r="H1259" s="4" t="s">
        <v>2761</v>
      </c>
    </row>
    <row r="1260" spans="1:8" ht="15.5" x14ac:dyDescent="0.35">
      <c r="A1260" s="4" t="s">
        <v>2747</v>
      </c>
      <c r="B1260" s="4">
        <v>2010</v>
      </c>
      <c r="C1260" s="4" t="s">
        <v>9</v>
      </c>
      <c r="D1260" s="9">
        <v>108</v>
      </c>
      <c r="E1260" s="10" t="s">
        <v>48</v>
      </c>
      <c r="F1260" s="4">
        <v>17</v>
      </c>
      <c r="G1260" s="4" t="s">
        <v>2762</v>
      </c>
      <c r="H1260" s="4" t="s">
        <v>2763</v>
      </c>
    </row>
    <row r="1261" spans="1:8" ht="15.5" x14ac:dyDescent="0.35">
      <c r="A1261" s="4" t="s">
        <v>2747</v>
      </c>
      <c r="B1261" s="4">
        <v>2011</v>
      </c>
      <c r="C1261" s="4" t="s">
        <v>9</v>
      </c>
      <c r="D1261" s="9">
        <v>159</v>
      </c>
      <c r="E1261" s="10" t="s">
        <v>45</v>
      </c>
      <c r="F1261" s="4">
        <v>23</v>
      </c>
      <c r="G1261" s="4" t="s">
        <v>2764</v>
      </c>
      <c r="H1261" s="4" t="s">
        <v>1288</v>
      </c>
    </row>
    <row r="1262" spans="1:8" ht="15.5" x14ac:dyDescent="0.35">
      <c r="A1262" s="4" t="s">
        <v>2747</v>
      </c>
      <c r="B1262" s="4">
        <v>2012</v>
      </c>
      <c r="C1262" s="4" t="s">
        <v>9</v>
      </c>
      <c r="D1262" s="9">
        <v>65</v>
      </c>
      <c r="E1262" s="10" t="s">
        <v>488</v>
      </c>
      <c r="F1262" s="4">
        <v>25</v>
      </c>
      <c r="G1262" s="4" t="s">
        <v>2765</v>
      </c>
      <c r="H1262" s="4" t="s">
        <v>2766</v>
      </c>
    </row>
    <row r="1263" spans="1:8" ht="15.5" x14ac:dyDescent="0.35">
      <c r="A1263" s="4" t="s">
        <v>2747</v>
      </c>
      <c r="B1263" s="4">
        <v>2013</v>
      </c>
      <c r="C1263" s="4" t="s">
        <v>9</v>
      </c>
      <c r="D1263" s="9">
        <v>214</v>
      </c>
      <c r="E1263" s="10" t="s">
        <v>218</v>
      </c>
      <c r="F1263" s="4">
        <v>22</v>
      </c>
      <c r="G1263" s="4" t="s">
        <v>2767</v>
      </c>
      <c r="H1263" s="4" t="s">
        <v>573</v>
      </c>
    </row>
    <row r="1264" spans="1:8" ht="15.5" x14ac:dyDescent="0.35">
      <c r="A1264" s="4" t="s">
        <v>2747</v>
      </c>
      <c r="B1264" s="4">
        <v>2014</v>
      </c>
      <c r="C1264" s="4" t="s">
        <v>9</v>
      </c>
      <c r="D1264" s="9">
        <v>113</v>
      </c>
      <c r="E1264" s="10" t="s">
        <v>197</v>
      </c>
      <c r="F1264" s="4">
        <v>1</v>
      </c>
      <c r="G1264" s="4" t="s">
        <v>2768</v>
      </c>
      <c r="H1264" s="4" t="s">
        <v>2769</v>
      </c>
    </row>
    <row r="1265" spans="1:8" ht="15.5" x14ac:dyDescent="0.35">
      <c r="A1265" s="4" t="s">
        <v>2747</v>
      </c>
      <c r="B1265" s="4">
        <v>2016</v>
      </c>
      <c r="C1265" s="4" t="s">
        <v>9</v>
      </c>
      <c r="D1265" s="9">
        <v>534</v>
      </c>
      <c r="E1265" s="10" t="s">
        <v>206</v>
      </c>
      <c r="F1265" s="4">
        <v>21</v>
      </c>
      <c r="G1265" s="4" t="s">
        <v>2770</v>
      </c>
      <c r="H1265" s="4">
        <v>1944</v>
      </c>
    </row>
    <row r="1266" spans="1:8" ht="15.5" x14ac:dyDescent="0.35">
      <c r="A1266" s="4" t="s">
        <v>2747</v>
      </c>
      <c r="B1266" s="4">
        <v>2017</v>
      </c>
      <c r="C1266" s="4" t="s">
        <v>9</v>
      </c>
      <c r="D1266" s="9">
        <v>36</v>
      </c>
      <c r="E1266" s="10" t="s">
        <v>269</v>
      </c>
      <c r="F1266" s="4">
        <v>22</v>
      </c>
      <c r="G1266" s="4" t="s">
        <v>2771</v>
      </c>
      <c r="H1266" s="4" t="s">
        <v>2772</v>
      </c>
    </row>
    <row r="1267" spans="1:8" ht="15.5" x14ac:dyDescent="0.35">
      <c r="A1267" s="4" t="s">
        <v>2747</v>
      </c>
      <c r="B1267" s="4">
        <v>2018</v>
      </c>
      <c r="C1267" s="4" t="s">
        <v>9</v>
      </c>
      <c r="D1267" s="9">
        <v>130</v>
      </c>
      <c r="E1267" s="10" t="s">
        <v>33</v>
      </c>
      <c r="F1267" s="4">
        <v>1</v>
      </c>
      <c r="G1267" s="4" t="s">
        <v>2773</v>
      </c>
      <c r="H1267" s="4" t="s">
        <v>2774</v>
      </c>
    </row>
    <row r="1268" spans="1:8" ht="15.5" x14ac:dyDescent="0.35">
      <c r="A1268" s="4" t="s">
        <v>2747</v>
      </c>
      <c r="B1268" s="4">
        <v>2021</v>
      </c>
      <c r="C1268" s="4" t="s">
        <v>9</v>
      </c>
      <c r="D1268" s="9">
        <v>364</v>
      </c>
      <c r="E1268" s="10" t="s">
        <v>24</v>
      </c>
      <c r="F1268" s="4">
        <v>19</v>
      </c>
      <c r="G1268" s="4" t="s">
        <v>2775</v>
      </c>
      <c r="H1268" s="4" t="s">
        <v>2776</v>
      </c>
    </row>
    <row r="1269" spans="1:8" ht="15.5" x14ac:dyDescent="0.35">
      <c r="A1269" s="4" t="s">
        <v>2747</v>
      </c>
      <c r="B1269" s="4">
        <v>2022</v>
      </c>
      <c r="C1269" s="4" t="s">
        <v>9</v>
      </c>
      <c r="D1269" s="9">
        <v>631</v>
      </c>
      <c r="E1269" s="10" t="s">
        <v>231</v>
      </c>
      <c r="F1269" s="4">
        <v>12</v>
      </c>
      <c r="G1269" s="4" t="s">
        <v>2777</v>
      </c>
      <c r="H1269" s="4" t="s">
        <v>1221</v>
      </c>
    </row>
    <row r="1270" spans="1:8" ht="15.5" x14ac:dyDescent="0.35">
      <c r="A1270" s="4" t="s">
        <v>2778</v>
      </c>
      <c r="B1270" s="4">
        <v>1957</v>
      </c>
      <c r="C1270" s="4"/>
      <c r="D1270" s="9">
        <v>6</v>
      </c>
      <c r="E1270" s="10" t="s">
        <v>1010</v>
      </c>
      <c r="F1270" s="4">
        <v>3</v>
      </c>
      <c r="G1270" s="4" t="s">
        <v>2779</v>
      </c>
      <c r="H1270" s="4" t="s">
        <v>2780</v>
      </c>
    </row>
    <row r="1271" spans="1:8" ht="15.5" x14ac:dyDescent="0.35">
      <c r="A1271" s="4" t="s">
        <v>2778</v>
      </c>
      <c r="B1271" s="4">
        <v>1959</v>
      </c>
      <c r="C1271" s="4"/>
      <c r="D1271" s="9">
        <v>16</v>
      </c>
      <c r="E1271" s="10" t="s">
        <v>2781</v>
      </c>
      <c r="F1271" s="4">
        <v>10</v>
      </c>
      <c r="G1271" s="4" t="s">
        <v>2782</v>
      </c>
      <c r="H1271" s="4" t="s">
        <v>2783</v>
      </c>
    </row>
    <row r="1272" spans="1:8" ht="15.5" x14ac:dyDescent="0.35">
      <c r="A1272" s="4" t="s">
        <v>2778</v>
      </c>
      <c r="B1272" s="4">
        <v>1960</v>
      </c>
      <c r="C1272" s="4"/>
      <c r="D1272" s="9">
        <v>25</v>
      </c>
      <c r="E1272" s="10" t="s">
        <v>2784</v>
      </c>
      <c r="F1272" s="4">
        <v>1</v>
      </c>
      <c r="G1272" s="4" t="s">
        <v>2785</v>
      </c>
      <c r="H1272" s="4" t="s">
        <v>2786</v>
      </c>
    </row>
    <row r="1273" spans="1:8" ht="15.5" x14ac:dyDescent="0.35">
      <c r="A1273" s="4" t="s">
        <v>2778</v>
      </c>
      <c r="B1273" s="4">
        <v>1961</v>
      </c>
      <c r="C1273" s="4"/>
      <c r="D1273" s="9">
        <v>24</v>
      </c>
      <c r="E1273" s="10" t="s">
        <v>1814</v>
      </c>
      <c r="F1273" s="4">
        <v>15</v>
      </c>
      <c r="G1273" s="4" t="s">
        <v>2787</v>
      </c>
      <c r="H1273" s="4" t="s">
        <v>2788</v>
      </c>
    </row>
    <row r="1274" spans="1:8" ht="15.5" x14ac:dyDescent="0.35">
      <c r="A1274" s="4" t="s">
        <v>2778</v>
      </c>
      <c r="B1274" s="4">
        <v>1962</v>
      </c>
      <c r="C1274" s="4"/>
      <c r="D1274" s="9">
        <v>10</v>
      </c>
      <c r="E1274" s="10" t="s">
        <v>858</v>
      </c>
      <c r="F1274" s="4">
        <v>13</v>
      </c>
      <c r="G1274" s="4" t="s">
        <v>2789</v>
      </c>
      <c r="H1274" s="4" t="s">
        <v>2790</v>
      </c>
    </row>
    <row r="1275" spans="1:8" ht="15.5" x14ac:dyDescent="0.35">
      <c r="A1275" s="4" t="s">
        <v>2778</v>
      </c>
      <c r="B1275" s="4">
        <v>1963</v>
      </c>
      <c r="C1275" s="4"/>
      <c r="D1275" s="9">
        <v>28</v>
      </c>
      <c r="E1275" s="10" t="s">
        <v>858</v>
      </c>
      <c r="F1275" s="4">
        <v>1</v>
      </c>
      <c r="G1275" s="4" t="s">
        <v>2789</v>
      </c>
      <c r="H1275" s="4" t="s">
        <v>2791</v>
      </c>
    </row>
    <row r="1276" spans="1:8" ht="15.5" x14ac:dyDescent="0.35">
      <c r="A1276" s="4" t="s">
        <v>2778</v>
      </c>
      <c r="B1276" s="4">
        <v>1964</v>
      </c>
      <c r="C1276" s="4"/>
      <c r="D1276" s="9">
        <v>17</v>
      </c>
      <c r="E1276" s="10" t="s">
        <v>1814</v>
      </c>
      <c r="F1276" s="4">
        <v>8</v>
      </c>
      <c r="G1276" s="4" t="s">
        <v>2792</v>
      </c>
      <c r="H1276" s="4" t="s">
        <v>2793</v>
      </c>
    </row>
    <row r="1277" spans="1:8" ht="15.5" x14ac:dyDescent="0.35">
      <c r="A1277" s="4" t="s">
        <v>2778</v>
      </c>
      <c r="B1277" s="4">
        <v>1965</v>
      </c>
      <c r="C1277" s="4"/>
      <c r="D1277" s="9">
        <v>26</v>
      </c>
      <c r="E1277" s="10" t="s">
        <v>890</v>
      </c>
      <c r="F1277" s="4">
        <v>2</v>
      </c>
      <c r="G1277" s="4" t="s">
        <v>2794</v>
      </c>
      <c r="H1277" s="4" t="s">
        <v>2795</v>
      </c>
    </row>
    <row r="1278" spans="1:8" ht="15.5" x14ac:dyDescent="0.35">
      <c r="A1278" s="4" t="s">
        <v>2778</v>
      </c>
      <c r="B1278" s="4">
        <v>1966</v>
      </c>
      <c r="C1278" s="4"/>
      <c r="D1278" s="9">
        <v>8</v>
      </c>
      <c r="E1278" s="10" t="s">
        <v>147</v>
      </c>
      <c r="F1278" s="4">
        <v>18</v>
      </c>
      <c r="G1278" s="4" t="s">
        <v>2796</v>
      </c>
      <c r="H1278" s="4" t="s">
        <v>2797</v>
      </c>
    </row>
    <row r="1279" spans="1:8" ht="15.5" x14ac:dyDescent="0.35">
      <c r="A1279" s="4" t="s">
        <v>2778</v>
      </c>
      <c r="B1279" s="4">
        <v>1967</v>
      </c>
      <c r="C1279" s="4"/>
      <c r="D1279" s="9">
        <v>47</v>
      </c>
      <c r="E1279" s="10" t="s">
        <v>1672</v>
      </c>
      <c r="F1279" s="4">
        <v>11</v>
      </c>
      <c r="G1279" s="4" t="s">
        <v>2798</v>
      </c>
      <c r="H1279" s="4" t="s">
        <v>2799</v>
      </c>
    </row>
    <row r="1280" spans="1:8" ht="15.5" x14ac:dyDescent="0.35">
      <c r="A1280" s="4" t="s">
        <v>2778</v>
      </c>
      <c r="B1280" s="4">
        <v>1968</v>
      </c>
      <c r="C1280" s="4"/>
      <c r="D1280" s="9">
        <v>28</v>
      </c>
      <c r="E1280" s="10" t="s">
        <v>1320</v>
      </c>
      <c r="F1280" s="4">
        <v>12</v>
      </c>
      <c r="G1280" s="4" t="s">
        <v>2800</v>
      </c>
      <c r="H1280" s="4" t="s">
        <v>2801</v>
      </c>
    </row>
    <row r="1281" spans="1:8" ht="15.5" x14ac:dyDescent="0.35">
      <c r="A1281" s="4" t="s">
        <v>2778</v>
      </c>
      <c r="B1281" s="4">
        <v>1969</v>
      </c>
      <c r="C1281" s="4"/>
      <c r="D1281" s="9">
        <v>18</v>
      </c>
      <c r="E1281" s="10" t="s">
        <v>608</v>
      </c>
      <c r="F1281" s="4">
        <v>7</v>
      </c>
      <c r="G1281" s="4" t="s">
        <v>2802</v>
      </c>
      <c r="H1281" s="4" t="s">
        <v>2803</v>
      </c>
    </row>
    <row r="1282" spans="1:8" ht="15.5" x14ac:dyDescent="0.35">
      <c r="A1282" s="4" t="s">
        <v>2778</v>
      </c>
      <c r="B1282" s="4">
        <v>1970</v>
      </c>
      <c r="C1282" s="4"/>
      <c r="D1282" s="9">
        <v>26</v>
      </c>
      <c r="E1282" s="10" t="s">
        <v>2804</v>
      </c>
      <c r="F1282" s="4">
        <v>7</v>
      </c>
      <c r="G1282" s="4" t="s">
        <v>2805</v>
      </c>
      <c r="H1282" s="4" t="s">
        <v>2806</v>
      </c>
    </row>
    <row r="1283" spans="1:8" ht="15.5" x14ac:dyDescent="0.35">
      <c r="A1283" s="4" t="s">
        <v>2778</v>
      </c>
      <c r="B1283" s="4">
        <v>1971</v>
      </c>
      <c r="C1283" s="4"/>
      <c r="D1283" s="9">
        <v>98</v>
      </c>
      <c r="E1283" s="10" t="s">
        <v>114</v>
      </c>
      <c r="F1283" s="4">
        <v>9</v>
      </c>
      <c r="G1283" s="4" t="s">
        <v>2807</v>
      </c>
      <c r="H1283" s="4" t="s">
        <v>2808</v>
      </c>
    </row>
    <row r="1284" spans="1:8" ht="15.5" x14ac:dyDescent="0.35">
      <c r="A1284" s="4" t="s">
        <v>2778</v>
      </c>
      <c r="B1284" s="4">
        <v>1972</v>
      </c>
      <c r="C1284" s="4"/>
      <c r="D1284" s="9">
        <v>114</v>
      </c>
      <c r="E1284" s="10" t="s">
        <v>890</v>
      </c>
      <c r="F1284" s="4">
        <v>5</v>
      </c>
      <c r="G1284" s="4" t="s">
        <v>2809</v>
      </c>
      <c r="H1284" s="4" t="s">
        <v>2810</v>
      </c>
    </row>
    <row r="1285" spans="1:8" ht="15.5" x14ac:dyDescent="0.35">
      <c r="A1285" s="4" t="s">
        <v>2778</v>
      </c>
      <c r="B1285" s="4">
        <v>1973</v>
      </c>
      <c r="C1285" s="4"/>
      <c r="D1285" s="9">
        <v>123</v>
      </c>
      <c r="E1285" s="10" t="s">
        <v>872</v>
      </c>
      <c r="F1285" s="4">
        <v>15</v>
      </c>
      <c r="G1285" s="4" t="s">
        <v>2800</v>
      </c>
      <c r="H1285" s="4" t="s">
        <v>2811</v>
      </c>
    </row>
    <row r="1286" spans="1:8" ht="15.5" x14ac:dyDescent="0.35">
      <c r="A1286" s="4" t="s">
        <v>2778</v>
      </c>
      <c r="B1286" s="4">
        <v>1974</v>
      </c>
      <c r="C1286" s="4"/>
      <c r="D1286" s="9">
        <v>14</v>
      </c>
      <c r="E1286" s="10" t="s">
        <v>1323</v>
      </c>
      <c r="F1286" s="4">
        <v>2</v>
      </c>
      <c r="G1286" s="4" t="s">
        <v>2812</v>
      </c>
      <c r="H1286" s="4" t="s">
        <v>2813</v>
      </c>
    </row>
    <row r="1287" spans="1:8" ht="15.5" x14ac:dyDescent="0.35">
      <c r="A1287" s="4" t="s">
        <v>2778</v>
      </c>
      <c r="B1287" s="4">
        <v>1975</v>
      </c>
      <c r="C1287" s="4"/>
      <c r="D1287" s="9">
        <v>138</v>
      </c>
      <c r="E1287" s="10" t="s">
        <v>1056</v>
      </c>
      <c r="F1287" s="4">
        <v>9</v>
      </c>
      <c r="G1287" s="4" t="s">
        <v>2814</v>
      </c>
      <c r="H1287" s="4" t="s">
        <v>2815</v>
      </c>
    </row>
    <row r="1288" spans="1:8" ht="15.5" x14ac:dyDescent="0.35">
      <c r="A1288" s="4" t="s">
        <v>2778</v>
      </c>
      <c r="B1288" s="4">
        <v>1976</v>
      </c>
      <c r="C1288" s="4"/>
      <c r="D1288" s="9">
        <v>164</v>
      </c>
      <c r="E1288" s="10" t="s">
        <v>116</v>
      </c>
      <c r="F1288" s="4">
        <v>1</v>
      </c>
      <c r="G1288" s="4" t="s">
        <v>2816</v>
      </c>
      <c r="H1288" s="4" t="s">
        <v>2817</v>
      </c>
    </row>
    <row r="1289" spans="1:8" ht="15.5" x14ac:dyDescent="0.35">
      <c r="A1289" s="4" t="s">
        <v>2778</v>
      </c>
      <c r="B1289" s="4">
        <v>1977</v>
      </c>
      <c r="C1289" s="4"/>
      <c r="D1289" s="9">
        <v>121</v>
      </c>
      <c r="E1289" s="10" t="s">
        <v>890</v>
      </c>
      <c r="F1289" s="4">
        <v>9</v>
      </c>
      <c r="G1289" s="4" t="s">
        <v>2818</v>
      </c>
      <c r="H1289" s="4" t="s">
        <v>2819</v>
      </c>
    </row>
    <row r="1290" spans="1:8" ht="15.5" x14ac:dyDescent="0.35">
      <c r="A1290" s="4" t="s">
        <v>2778</v>
      </c>
      <c r="B1290" s="4">
        <v>1978</v>
      </c>
      <c r="C1290" s="4"/>
      <c r="D1290" s="9">
        <v>61</v>
      </c>
      <c r="E1290" s="10" t="s">
        <v>626</v>
      </c>
      <c r="F1290" s="4">
        <v>8</v>
      </c>
      <c r="G1290" s="4" t="s">
        <v>2820</v>
      </c>
      <c r="H1290" s="4" t="s">
        <v>2821</v>
      </c>
    </row>
    <row r="1291" spans="1:8" ht="15.5" x14ac:dyDescent="0.35">
      <c r="A1291" s="4" t="s">
        <v>2778</v>
      </c>
      <c r="B1291" s="4">
        <v>1979</v>
      </c>
      <c r="C1291" s="4"/>
      <c r="D1291" s="9">
        <v>73</v>
      </c>
      <c r="E1291" s="10" t="s">
        <v>768</v>
      </c>
      <c r="F1291" s="4">
        <v>17</v>
      </c>
      <c r="G1291" s="4" t="s">
        <v>2822</v>
      </c>
      <c r="H1291" s="4" t="s">
        <v>2823</v>
      </c>
    </row>
    <row r="1292" spans="1:8" ht="15.5" x14ac:dyDescent="0.35">
      <c r="A1292" s="4" t="s">
        <v>2778</v>
      </c>
      <c r="B1292" s="4">
        <v>1980</v>
      </c>
      <c r="C1292" s="4"/>
      <c r="D1292" s="9">
        <v>106</v>
      </c>
      <c r="E1292" s="10" t="s">
        <v>898</v>
      </c>
      <c r="F1292" s="4">
        <v>13</v>
      </c>
      <c r="G1292" s="4" t="s">
        <v>2824</v>
      </c>
      <c r="H1292" s="4" t="s">
        <v>2825</v>
      </c>
    </row>
    <row r="1293" spans="1:8" ht="15.5" x14ac:dyDescent="0.35">
      <c r="A1293" s="4" t="s">
        <v>2778</v>
      </c>
      <c r="B1293" s="4">
        <v>1981</v>
      </c>
      <c r="C1293" s="4"/>
      <c r="D1293" s="9">
        <v>136</v>
      </c>
      <c r="E1293" s="10" t="s">
        <v>343</v>
      </c>
      <c r="F1293" s="4">
        <v>14</v>
      </c>
      <c r="G1293" s="4" t="s">
        <v>2826</v>
      </c>
      <c r="H1293" s="4" t="s">
        <v>2827</v>
      </c>
    </row>
    <row r="1294" spans="1:8" ht="15.5" x14ac:dyDescent="0.35">
      <c r="A1294" s="4" t="s">
        <v>2778</v>
      </c>
      <c r="B1294" s="4">
        <v>1982</v>
      </c>
      <c r="C1294" s="4"/>
      <c r="D1294" s="9">
        <v>76</v>
      </c>
      <c r="E1294" s="10" t="s">
        <v>321</v>
      </c>
      <c r="F1294" s="4">
        <v>4</v>
      </c>
      <c r="G1294" s="4" t="s">
        <v>2828</v>
      </c>
      <c r="H1294" s="4" t="s">
        <v>2829</v>
      </c>
    </row>
    <row r="1295" spans="1:8" ht="15.5" x14ac:dyDescent="0.35">
      <c r="A1295" s="4" t="s">
        <v>2778</v>
      </c>
      <c r="B1295" s="4">
        <v>1983</v>
      </c>
      <c r="C1295" s="4"/>
      <c r="D1295" s="9">
        <v>79</v>
      </c>
      <c r="E1295" s="10" t="s">
        <v>508</v>
      </c>
      <c r="F1295" s="4">
        <v>3</v>
      </c>
      <c r="G1295" s="4" t="s">
        <v>2830</v>
      </c>
      <c r="H1295" s="4" t="s">
        <v>2831</v>
      </c>
    </row>
    <row r="1296" spans="1:8" ht="15.5" x14ac:dyDescent="0.35">
      <c r="A1296" s="4" t="s">
        <v>2778</v>
      </c>
      <c r="B1296" s="4">
        <v>1984</v>
      </c>
      <c r="C1296" s="4"/>
      <c r="D1296" s="9">
        <v>63</v>
      </c>
      <c r="E1296" s="10" t="s">
        <v>768</v>
      </c>
      <c r="F1296" s="4">
        <v>6</v>
      </c>
      <c r="G1296" s="4" t="s">
        <v>2832</v>
      </c>
      <c r="H1296" s="4" t="s">
        <v>2833</v>
      </c>
    </row>
    <row r="1297" spans="1:8" ht="15.5" x14ac:dyDescent="0.35">
      <c r="A1297" s="4" t="s">
        <v>2778</v>
      </c>
      <c r="B1297" s="4">
        <v>1985</v>
      </c>
      <c r="C1297" s="4"/>
      <c r="D1297" s="9">
        <v>100</v>
      </c>
      <c r="E1297" s="10" t="s">
        <v>633</v>
      </c>
      <c r="F1297" s="4">
        <v>14</v>
      </c>
      <c r="G1297" s="4" t="s">
        <v>2834</v>
      </c>
      <c r="H1297" s="4" t="s">
        <v>2835</v>
      </c>
    </row>
    <row r="1298" spans="1:8" ht="15.5" x14ac:dyDescent="0.35">
      <c r="A1298" s="4" t="s">
        <v>2778</v>
      </c>
      <c r="B1298" s="4">
        <v>1986</v>
      </c>
      <c r="C1298" s="4"/>
      <c r="D1298" s="9">
        <v>72</v>
      </c>
      <c r="E1298" s="10" t="s">
        <v>1426</v>
      </c>
      <c r="F1298" s="4">
        <v>5</v>
      </c>
      <c r="G1298" s="4" t="s">
        <v>2836</v>
      </c>
      <c r="H1298" s="4" t="s">
        <v>2837</v>
      </c>
    </row>
    <row r="1299" spans="1:8" ht="15.5" x14ac:dyDescent="0.35">
      <c r="A1299" s="4" t="s">
        <v>2778</v>
      </c>
      <c r="B1299" s="4">
        <v>1987</v>
      </c>
      <c r="C1299" s="4"/>
      <c r="D1299" s="9">
        <v>47</v>
      </c>
      <c r="E1299" s="10" t="s">
        <v>1171</v>
      </c>
      <c r="F1299" s="4">
        <v>14</v>
      </c>
      <c r="G1299" s="4" t="s">
        <v>2838</v>
      </c>
      <c r="H1299" s="4" t="s">
        <v>2839</v>
      </c>
    </row>
    <row r="1300" spans="1:8" ht="15.5" x14ac:dyDescent="0.35">
      <c r="A1300" s="4" t="s">
        <v>2778</v>
      </c>
      <c r="B1300" s="4">
        <v>1988</v>
      </c>
      <c r="C1300" s="4"/>
      <c r="D1300" s="9">
        <v>136</v>
      </c>
      <c r="E1300" s="10" t="s">
        <v>2840</v>
      </c>
      <c r="F1300" s="4">
        <v>4</v>
      </c>
      <c r="G1300" s="4" t="s">
        <v>2841</v>
      </c>
      <c r="H1300" s="4" t="s">
        <v>2842</v>
      </c>
    </row>
    <row r="1301" spans="1:8" ht="15.5" x14ac:dyDescent="0.35">
      <c r="A1301" s="4" t="s">
        <v>2778</v>
      </c>
      <c r="B1301" s="4">
        <v>1989</v>
      </c>
      <c r="C1301" s="4"/>
      <c r="D1301" s="9">
        <v>130</v>
      </c>
      <c r="E1301" s="10" t="s">
        <v>921</v>
      </c>
      <c r="F1301" s="4">
        <v>7</v>
      </c>
      <c r="G1301" s="4" t="s">
        <v>2843</v>
      </c>
      <c r="H1301" s="4" t="s">
        <v>2844</v>
      </c>
    </row>
    <row r="1302" spans="1:8" ht="15.5" x14ac:dyDescent="0.35">
      <c r="A1302" s="4" t="s">
        <v>2778</v>
      </c>
      <c r="B1302" s="4">
        <v>1990</v>
      </c>
      <c r="C1302" s="4"/>
      <c r="D1302" s="9">
        <v>87</v>
      </c>
      <c r="E1302" s="10" t="s">
        <v>1739</v>
      </c>
      <c r="F1302" s="4">
        <v>7</v>
      </c>
      <c r="G1302" s="4" t="s">
        <v>1566</v>
      </c>
      <c r="H1302" s="4" t="s">
        <v>2845</v>
      </c>
    </row>
    <row r="1303" spans="1:8" ht="15.5" x14ac:dyDescent="0.35">
      <c r="A1303" s="4" t="s">
        <v>2778</v>
      </c>
      <c r="B1303" s="4">
        <v>1991</v>
      </c>
      <c r="C1303" s="4"/>
      <c r="D1303" s="9">
        <v>47</v>
      </c>
      <c r="E1303" s="10" t="s">
        <v>169</v>
      </c>
      <c r="F1303" s="4">
        <v>20</v>
      </c>
      <c r="G1303" s="4" t="s">
        <v>2846</v>
      </c>
      <c r="H1303" s="4" t="s">
        <v>2847</v>
      </c>
    </row>
    <row r="1304" spans="1:8" ht="15.5" x14ac:dyDescent="0.35">
      <c r="A1304" s="4" t="s">
        <v>2778</v>
      </c>
      <c r="B1304" s="4">
        <v>1992</v>
      </c>
      <c r="C1304" s="4"/>
      <c r="D1304" s="9">
        <v>139</v>
      </c>
      <c r="E1304" s="10" t="s">
        <v>667</v>
      </c>
      <c r="F1304" s="4">
        <v>16</v>
      </c>
      <c r="G1304" s="4" t="s">
        <v>2848</v>
      </c>
      <c r="H1304" s="4" t="s">
        <v>2849</v>
      </c>
    </row>
    <row r="1305" spans="1:8" ht="15.5" x14ac:dyDescent="0.35">
      <c r="A1305" s="4" t="s">
        <v>2778</v>
      </c>
      <c r="B1305" s="4">
        <v>1993</v>
      </c>
      <c r="C1305" s="4"/>
      <c r="D1305" s="9">
        <v>164</v>
      </c>
      <c r="E1305" s="10" t="s">
        <v>1295</v>
      </c>
      <c r="F1305" s="4">
        <v>19</v>
      </c>
      <c r="G1305" s="4" t="s">
        <v>2850</v>
      </c>
      <c r="H1305" s="4" t="s">
        <v>2851</v>
      </c>
    </row>
    <row r="1306" spans="1:8" ht="15.5" x14ac:dyDescent="0.35">
      <c r="A1306" s="4" t="s">
        <v>2778</v>
      </c>
      <c r="B1306" s="4">
        <v>1994</v>
      </c>
      <c r="C1306" s="4"/>
      <c r="D1306" s="9">
        <v>63</v>
      </c>
      <c r="E1306" s="10" t="s">
        <v>48</v>
      </c>
      <c r="F1306" s="4">
        <v>6</v>
      </c>
      <c r="G1306" s="4" t="s">
        <v>2852</v>
      </c>
      <c r="H1306" s="4" t="s">
        <v>2853</v>
      </c>
    </row>
    <row r="1307" spans="1:8" ht="15.5" x14ac:dyDescent="0.35">
      <c r="A1307" s="4" t="s">
        <v>2778</v>
      </c>
      <c r="B1307" s="4">
        <v>1995</v>
      </c>
      <c r="C1307" s="4"/>
      <c r="D1307" s="9">
        <v>76</v>
      </c>
      <c r="E1307" s="10" t="s">
        <v>174</v>
      </c>
      <c r="F1307" s="4">
        <v>15</v>
      </c>
      <c r="G1307" s="4" t="s">
        <v>2854</v>
      </c>
      <c r="H1307" s="4" t="s">
        <v>2854</v>
      </c>
    </row>
    <row r="1308" spans="1:8" ht="15.5" x14ac:dyDescent="0.35">
      <c r="A1308" s="4" t="s">
        <v>2778</v>
      </c>
      <c r="B1308" s="4">
        <v>1996</v>
      </c>
      <c r="C1308" s="4"/>
      <c r="D1308" s="9">
        <v>77</v>
      </c>
      <c r="E1308" s="10" t="s">
        <v>661</v>
      </c>
      <c r="F1308" s="4">
        <v>2</v>
      </c>
      <c r="G1308" s="4" t="s">
        <v>2855</v>
      </c>
      <c r="H1308" s="4" t="s">
        <v>2856</v>
      </c>
    </row>
    <row r="1309" spans="1:8" ht="15.5" x14ac:dyDescent="0.35">
      <c r="A1309" s="4" t="s">
        <v>2778</v>
      </c>
      <c r="B1309" s="4">
        <v>1997</v>
      </c>
      <c r="C1309" s="4"/>
      <c r="D1309" s="9">
        <v>227</v>
      </c>
      <c r="E1309" s="10" t="s">
        <v>231</v>
      </c>
      <c r="F1309" s="4">
        <v>24</v>
      </c>
      <c r="G1309" s="4" t="s">
        <v>2857</v>
      </c>
      <c r="H1309" s="4" t="s">
        <v>2858</v>
      </c>
    </row>
    <row r="1310" spans="1:8" ht="15.5" x14ac:dyDescent="0.35">
      <c r="A1310" s="4" t="s">
        <v>2778</v>
      </c>
      <c r="B1310" s="4">
        <v>1998</v>
      </c>
      <c r="C1310" s="4"/>
      <c r="D1310" s="9">
        <v>166</v>
      </c>
      <c r="E1310" s="10" t="s">
        <v>1295</v>
      </c>
      <c r="F1310" s="4">
        <v>16</v>
      </c>
      <c r="G1310" s="4" t="s">
        <v>2859</v>
      </c>
      <c r="H1310" s="4" t="s">
        <v>2860</v>
      </c>
    </row>
    <row r="1311" spans="1:8" ht="15.5" x14ac:dyDescent="0.35">
      <c r="A1311" s="4" t="s">
        <v>2778</v>
      </c>
      <c r="B1311" s="4">
        <v>1999</v>
      </c>
      <c r="C1311" s="4"/>
      <c r="D1311" s="9">
        <v>38</v>
      </c>
      <c r="E1311" s="10" t="s">
        <v>375</v>
      </c>
      <c r="F1311" s="4">
        <v>5</v>
      </c>
      <c r="G1311" s="4" t="s">
        <v>2861</v>
      </c>
      <c r="H1311" s="4" t="s">
        <v>2862</v>
      </c>
    </row>
    <row r="1312" spans="1:8" ht="15.5" x14ac:dyDescent="0.35">
      <c r="A1312" s="4" t="s">
        <v>2778</v>
      </c>
      <c r="B1312" s="4">
        <v>2000</v>
      </c>
      <c r="C1312" s="4"/>
      <c r="D1312" s="9">
        <v>28</v>
      </c>
      <c r="E1312" s="10" t="s">
        <v>13</v>
      </c>
      <c r="F1312" s="4">
        <v>3</v>
      </c>
      <c r="G1312" s="4" t="s">
        <v>2863</v>
      </c>
      <c r="H1312" s="4" t="s">
        <v>2864</v>
      </c>
    </row>
    <row r="1313" spans="1:8" ht="15.5" x14ac:dyDescent="0.35">
      <c r="A1313" s="4" t="s">
        <v>2778</v>
      </c>
      <c r="B1313" s="4">
        <v>2001</v>
      </c>
      <c r="C1313" s="4"/>
      <c r="D1313" s="9">
        <v>28</v>
      </c>
      <c r="E1313" s="10" t="s">
        <v>1276</v>
      </c>
      <c r="F1313" s="4">
        <v>16</v>
      </c>
      <c r="G1313" s="4" t="s">
        <v>2865</v>
      </c>
      <c r="H1313" s="4" t="s">
        <v>2866</v>
      </c>
    </row>
    <row r="1314" spans="1:8" ht="15.5" x14ac:dyDescent="0.35">
      <c r="A1314" s="4" t="s">
        <v>2778</v>
      </c>
      <c r="B1314" s="4">
        <v>2002</v>
      </c>
      <c r="C1314" s="4"/>
      <c r="D1314" s="9">
        <v>111</v>
      </c>
      <c r="E1314" s="10" t="s">
        <v>436</v>
      </c>
      <c r="F1314" s="4">
        <v>2</v>
      </c>
      <c r="G1314" s="4" t="s">
        <v>2867</v>
      </c>
      <c r="H1314" s="4" t="s">
        <v>2868</v>
      </c>
    </row>
    <row r="1315" spans="1:8" ht="15.5" x14ac:dyDescent="0.35">
      <c r="A1315" s="4" t="s">
        <v>2778</v>
      </c>
      <c r="B1315" s="4">
        <v>2003</v>
      </c>
      <c r="C1315" s="4"/>
      <c r="D1315" s="9">
        <v>0</v>
      </c>
      <c r="E1315" s="10" t="s">
        <v>972</v>
      </c>
      <c r="F1315" s="4">
        <v>15</v>
      </c>
      <c r="G1315" s="4" t="s">
        <v>2869</v>
      </c>
      <c r="H1315" s="4" t="s">
        <v>2870</v>
      </c>
    </row>
    <row r="1316" spans="1:8" ht="15.5" x14ac:dyDescent="0.35">
      <c r="A1316" s="4" t="s">
        <v>2778</v>
      </c>
      <c r="B1316" s="4">
        <v>2004</v>
      </c>
      <c r="C1316" s="4" t="s">
        <v>9</v>
      </c>
      <c r="D1316" s="9">
        <v>29</v>
      </c>
      <c r="E1316" s="10" t="s">
        <v>13</v>
      </c>
      <c r="F1316" s="4">
        <v>20</v>
      </c>
      <c r="G1316" s="4" t="s">
        <v>2871</v>
      </c>
      <c r="H1316" s="4" t="s">
        <v>2872</v>
      </c>
    </row>
    <row r="1317" spans="1:8" ht="15.5" x14ac:dyDescent="0.35">
      <c r="A1317" s="4" t="s">
        <v>2778</v>
      </c>
      <c r="B1317" s="4">
        <v>2005</v>
      </c>
      <c r="C1317" s="4" t="s">
        <v>9</v>
      </c>
      <c r="D1317" s="9">
        <v>18</v>
      </c>
      <c r="E1317" s="10" t="s">
        <v>386</v>
      </c>
      <c r="F1317" s="4">
        <v>2</v>
      </c>
      <c r="G1317" s="4" t="s">
        <v>2873</v>
      </c>
      <c r="H1317" s="4" t="s">
        <v>2874</v>
      </c>
    </row>
    <row r="1318" spans="1:8" ht="15.5" x14ac:dyDescent="0.35">
      <c r="A1318" s="4" t="s">
        <v>2778</v>
      </c>
      <c r="B1318" s="4">
        <v>2006</v>
      </c>
      <c r="C1318" s="4" t="s">
        <v>9</v>
      </c>
      <c r="D1318" s="9">
        <v>25</v>
      </c>
      <c r="E1318" s="10" t="s">
        <v>1110</v>
      </c>
      <c r="F1318" s="4">
        <v>15</v>
      </c>
      <c r="G1318" s="4" t="s">
        <v>2875</v>
      </c>
      <c r="H1318" s="4" t="s">
        <v>2876</v>
      </c>
    </row>
    <row r="1319" spans="1:8" ht="15.5" x14ac:dyDescent="0.35">
      <c r="A1319" s="4" t="s">
        <v>2778</v>
      </c>
      <c r="B1319" s="4">
        <v>2007</v>
      </c>
      <c r="C1319" s="4" t="s">
        <v>9</v>
      </c>
      <c r="D1319" s="9">
        <v>19</v>
      </c>
      <c r="E1319" s="10" t="s">
        <v>386</v>
      </c>
      <c r="F1319" s="4">
        <v>19</v>
      </c>
      <c r="G1319" s="4" t="s">
        <v>2877</v>
      </c>
      <c r="H1319" s="4" t="s">
        <v>2878</v>
      </c>
    </row>
    <row r="1320" spans="1:8" ht="15.5" x14ac:dyDescent="0.35">
      <c r="A1320" s="4" t="s">
        <v>2778</v>
      </c>
      <c r="B1320" s="4">
        <v>2008</v>
      </c>
      <c r="C1320" s="4" t="s">
        <v>9</v>
      </c>
      <c r="D1320" s="9">
        <v>14</v>
      </c>
      <c r="E1320" s="10" t="s">
        <v>364</v>
      </c>
      <c r="F1320" s="4">
        <v>2</v>
      </c>
      <c r="G1320" s="4" t="s">
        <v>2879</v>
      </c>
      <c r="H1320" s="4" t="s">
        <v>2880</v>
      </c>
    </row>
    <row r="1321" spans="1:8" ht="15.5" x14ac:dyDescent="0.35">
      <c r="A1321" s="4" t="s">
        <v>2778</v>
      </c>
      <c r="B1321" s="4">
        <v>2009</v>
      </c>
      <c r="C1321" s="4" t="s">
        <v>9</v>
      </c>
      <c r="D1321" s="9">
        <v>173</v>
      </c>
      <c r="E1321" s="10" t="s">
        <v>228</v>
      </c>
      <c r="F1321" s="4">
        <v>23</v>
      </c>
      <c r="G1321" s="4" t="s">
        <v>2881</v>
      </c>
      <c r="H1321" s="4" t="s">
        <v>2882</v>
      </c>
    </row>
    <row r="1322" spans="1:8" ht="15.5" x14ac:dyDescent="0.35">
      <c r="A1322" s="4" t="s">
        <v>2778</v>
      </c>
      <c r="B1322" s="4">
        <v>2010</v>
      </c>
      <c r="C1322" s="4" t="s">
        <v>9</v>
      </c>
      <c r="D1322" s="9">
        <v>10</v>
      </c>
      <c r="E1322" s="10" t="s">
        <v>364</v>
      </c>
      <c r="F1322" s="4">
        <v>12</v>
      </c>
      <c r="G1322" s="4" t="s">
        <v>2883</v>
      </c>
      <c r="H1322" s="4" t="s">
        <v>2884</v>
      </c>
    </row>
    <row r="1323" spans="1:8" ht="15.5" x14ac:dyDescent="0.35">
      <c r="A1323" s="4" t="s">
        <v>2778</v>
      </c>
      <c r="B1323" s="4">
        <v>2011</v>
      </c>
      <c r="C1323" s="4" t="s">
        <v>9</v>
      </c>
      <c r="D1323" s="9">
        <v>100</v>
      </c>
      <c r="E1323" s="10" t="s">
        <v>540</v>
      </c>
      <c r="F1323" s="4">
        <v>14</v>
      </c>
      <c r="G1323" s="4" t="s">
        <v>2885</v>
      </c>
      <c r="H1323" s="4" t="s">
        <v>2886</v>
      </c>
    </row>
    <row r="1324" spans="1:8" ht="15.5" x14ac:dyDescent="0.35">
      <c r="A1324" s="4" t="s">
        <v>2778</v>
      </c>
      <c r="B1324" s="4">
        <v>2012</v>
      </c>
      <c r="C1324" s="4" t="s">
        <v>9</v>
      </c>
      <c r="D1324" s="9">
        <v>12</v>
      </c>
      <c r="E1324" s="10" t="s">
        <v>581</v>
      </c>
      <c r="F1324" s="4">
        <v>1</v>
      </c>
      <c r="G1324" s="4" t="s">
        <v>2887</v>
      </c>
      <c r="H1324" s="4" t="s">
        <v>2888</v>
      </c>
    </row>
    <row r="1325" spans="1:8" ht="15.5" x14ac:dyDescent="0.35">
      <c r="A1325" s="4" t="s">
        <v>2778</v>
      </c>
      <c r="B1325" s="4">
        <v>2013</v>
      </c>
      <c r="C1325" s="4" t="s">
        <v>9</v>
      </c>
      <c r="D1325" s="9">
        <v>23</v>
      </c>
      <c r="E1325" s="10" t="s">
        <v>402</v>
      </c>
      <c r="F1325" s="4">
        <v>15</v>
      </c>
      <c r="G1325" s="4" t="s">
        <v>2889</v>
      </c>
      <c r="H1325" s="4" t="s">
        <v>2890</v>
      </c>
    </row>
    <row r="1326" spans="1:8" ht="15.5" x14ac:dyDescent="0.35">
      <c r="A1326" s="4" t="s">
        <v>2778</v>
      </c>
      <c r="B1326" s="4">
        <v>2014</v>
      </c>
      <c r="C1326" s="4" t="s">
        <v>9</v>
      </c>
      <c r="D1326" s="9">
        <v>40</v>
      </c>
      <c r="E1326" s="10" t="s">
        <v>33</v>
      </c>
      <c r="F1326" s="4">
        <v>26</v>
      </c>
      <c r="G1326" s="4" t="s">
        <v>2891</v>
      </c>
      <c r="H1326" s="4" t="s">
        <v>2892</v>
      </c>
    </row>
    <row r="1327" spans="1:8" ht="15.5" x14ac:dyDescent="0.35">
      <c r="A1327" s="4" t="s">
        <v>2778</v>
      </c>
      <c r="B1327" s="4">
        <v>2015</v>
      </c>
      <c r="C1327" s="4" t="s">
        <v>9</v>
      </c>
      <c r="D1327" s="9">
        <v>5</v>
      </c>
      <c r="E1327" s="10" t="s">
        <v>2893</v>
      </c>
      <c r="F1327" s="4">
        <v>5</v>
      </c>
      <c r="G1327" s="4" t="s">
        <v>2894</v>
      </c>
      <c r="H1327" s="4" t="s">
        <v>2895</v>
      </c>
    </row>
    <row r="1328" spans="1:8" ht="15.5" x14ac:dyDescent="0.35">
      <c r="A1328" s="4" t="s">
        <v>2778</v>
      </c>
      <c r="B1328" s="4">
        <v>2016</v>
      </c>
      <c r="C1328" s="4" t="s">
        <v>9</v>
      </c>
      <c r="D1328" s="9">
        <v>62</v>
      </c>
      <c r="E1328" s="10" t="s">
        <v>269</v>
      </c>
      <c r="F1328" s="4">
        <v>25</v>
      </c>
      <c r="G1328" s="4" t="s">
        <v>2896</v>
      </c>
      <c r="H1328" s="4" t="s">
        <v>2897</v>
      </c>
    </row>
    <row r="1329" spans="1:8" ht="15.5" x14ac:dyDescent="0.35">
      <c r="A1329" s="4" t="s">
        <v>2778</v>
      </c>
      <c r="B1329" s="4">
        <v>2017</v>
      </c>
      <c r="C1329" s="4" t="s">
        <v>9</v>
      </c>
      <c r="D1329" s="9">
        <v>111</v>
      </c>
      <c r="E1329" s="10" t="s">
        <v>488</v>
      </c>
      <c r="F1329" s="4">
        <v>18</v>
      </c>
      <c r="G1329" s="4" t="s">
        <v>2898</v>
      </c>
      <c r="H1329" s="4" t="s">
        <v>2899</v>
      </c>
    </row>
    <row r="1330" spans="1:8" ht="15.5" x14ac:dyDescent="0.35">
      <c r="A1330" s="4" t="s">
        <v>2778</v>
      </c>
      <c r="B1330" s="4">
        <v>2018</v>
      </c>
      <c r="C1330" s="4" t="s">
        <v>9</v>
      </c>
      <c r="D1330" s="9">
        <v>48</v>
      </c>
      <c r="E1330" s="10" t="s">
        <v>269</v>
      </c>
      <c r="F1330" s="4">
        <v>9</v>
      </c>
      <c r="G1330" s="4" t="s">
        <v>2900</v>
      </c>
      <c r="H1330" s="4" t="s">
        <v>733</v>
      </c>
    </row>
    <row r="1331" spans="1:8" ht="15.5" x14ac:dyDescent="0.35">
      <c r="A1331" s="4" t="s">
        <v>2778</v>
      </c>
      <c r="B1331" s="4">
        <v>2019</v>
      </c>
      <c r="C1331" s="4" t="s">
        <v>9</v>
      </c>
      <c r="D1331" s="9">
        <v>11</v>
      </c>
      <c r="E1331" s="10" t="s">
        <v>972</v>
      </c>
      <c r="F1331" s="4">
        <v>16</v>
      </c>
      <c r="G1331" s="4" t="s">
        <v>2901</v>
      </c>
      <c r="H1331" s="4" t="s">
        <v>2902</v>
      </c>
    </row>
    <row r="1332" spans="1:8" ht="15.5" x14ac:dyDescent="0.35">
      <c r="A1332" s="4" t="s">
        <v>2778</v>
      </c>
      <c r="B1332" s="4">
        <v>2021</v>
      </c>
      <c r="C1332" s="4" t="s">
        <v>9</v>
      </c>
      <c r="D1332" s="9">
        <v>0</v>
      </c>
      <c r="E1332" s="10" t="s">
        <v>972</v>
      </c>
      <c r="F1332" s="4">
        <v>9</v>
      </c>
      <c r="G1332" s="4" t="s">
        <v>2903</v>
      </c>
      <c r="H1332" s="4" t="s">
        <v>2904</v>
      </c>
    </row>
    <row r="1333" spans="1:8" ht="15.5" x14ac:dyDescent="0.35">
      <c r="A1333" s="4" t="s">
        <v>2778</v>
      </c>
      <c r="B1333" s="4">
        <v>2022</v>
      </c>
      <c r="C1333" s="4" t="s">
        <v>9</v>
      </c>
      <c r="D1333" s="9">
        <v>466</v>
      </c>
      <c r="E1333" s="10" t="s">
        <v>1295</v>
      </c>
      <c r="F1333" s="4">
        <v>22</v>
      </c>
      <c r="G1333" s="4" t="s">
        <v>2905</v>
      </c>
      <c r="H1333" s="4" t="s">
        <v>2906</v>
      </c>
    </row>
    <row r="1334" spans="1:8" ht="15.5" x14ac:dyDescent="0.35">
      <c r="A1334" s="4" t="s">
        <v>2907</v>
      </c>
      <c r="B1334" s="4">
        <v>1961</v>
      </c>
      <c r="C1334" s="4"/>
      <c r="D1334" s="9">
        <v>9</v>
      </c>
      <c r="E1334" s="10" t="s">
        <v>1649</v>
      </c>
      <c r="F1334" s="4">
        <v>5</v>
      </c>
      <c r="G1334" s="4" t="s">
        <v>2908</v>
      </c>
      <c r="H1334" s="4" t="s">
        <v>2909</v>
      </c>
    </row>
    <row r="1335" spans="1:8" ht="15.5" x14ac:dyDescent="0.35">
      <c r="A1335" s="4" t="s">
        <v>2907</v>
      </c>
      <c r="B1335" s="4">
        <v>1962</v>
      </c>
      <c r="C1335" s="4"/>
      <c r="D1335" s="9">
        <v>10</v>
      </c>
      <c r="E1335" s="10" t="s">
        <v>858</v>
      </c>
      <c r="F1335" s="4">
        <v>12</v>
      </c>
      <c r="G1335" s="4" t="s">
        <v>2910</v>
      </c>
      <c r="H1335" s="4" t="s">
        <v>2911</v>
      </c>
    </row>
    <row r="1336" spans="1:8" ht="15.5" x14ac:dyDescent="0.35">
      <c r="A1336" s="4" t="s">
        <v>2907</v>
      </c>
      <c r="B1336" s="4">
        <v>1963</v>
      </c>
      <c r="C1336" s="4"/>
      <c r="D1336" s="9">
        <v>3</v>
      </c>
      <c r="E1336" s="10" t="s">
        <v>1662</v>
      </c>
      <c r="F1336" s="4">
        <v>9</v>
      </c>
      <c r="G1336" s="4" t="s">
        <v>2912</v>
      </c>
      <c r="H1336" s="4" t="s">
        <v>2913</v>
      </c>
    </row>
    <row r="1337" spans="1:8" ht="15.5" x14ac:dyDescent="0.35">
      <c r="A1337" s="4" t="s">
        <v>2907</v>
      </c>
      <c r="B1337" s="4">
        <v>1964</v>
      </c>
      <c r="C1337" s="4"/>
      <c r="D1337" s="9">
        <v>0</v>
      </c>
      <c r="E1337" s="10" t="s">
        <v>105</v>
      </c>
      <c r="F1337" s="4">
        <v>13</v>
      </c>
      <c r="G1337" s="4" t="s">
        <v>2914</v>
      </c>
      <c r="H1337" s="4" t="s">
        <v>2915</v>
      </c>
    </row>
    <row r="1338" spans="1:8" ht="15.5" x14ac:dyDescent="0.35">
      <c r="A1338" s="4" t="s">
        <v>2907</v>
      </c>
      <c r="B1338" s="4">
        <v>1965</v>
      </c>
      <c r="C1338" s="4"/>
      <c r="D1338" s="9">
        <v>2</v>
      </c>
      <c r="E1338" s="10" t="s">
        <v>761</v>
      </c>
      <c r="F1338" s="4">
        <v>17</v>
      </c>
      <c r="G1338" s="4" t="s">
        <v>2912</v>
      </c>
      <c r="H1338" s="4" t="s">
        <v>2916</v>
      </c>
    </row>
    <row r="1339" spans="1:8" ht="15.5" x14ac:dyDescent="0.35">
      <c r="A1339" s="4" t="s">
        <v>2907</v>
      </c>
      <c r="B1339" s="4">
        <v>1966</v>
      </c>
      <c r="C1339" s="4"/>
      <c r="D1339" s="9">
        <v>9</v>
      </c>
      <c r="E1339" s="10" t="s">
        <v>321</v>
      </c>
      <c r="F1339" s="4">
        <v>5</v>
      </c>
      <c r="G1339" s="4" t="s">
        <v>2917</v>
      </c>
      <c r="H1339" s="4" t="s">
        <v>2918</v>
      </c>
    </row>
    <row r="1340" spans="1:8" ht="15.5" x14ac:dyDescent="0.35">
      <c r="A1340" s="4" t="s">
        <v>2907</v>
      </c>
      <c r="B1340" s="4">
        <v>1967</v>
      </c>
      <c r="C1340" s="4"/>
      <c r="D1340" s="9">
        <v>7</v>
      </c>
      <c r="E1340" s="10" t="s">
        <v>1030</v>
      </c>
      <c r="F1340" s="4">
        <v>15</v>
      </c>
      <c r="G1340" s="4" t="s">
        <v>2919</v>
      </c>
      <c r="H1340" s="4" t="s">
        <v>2920</v>
      </c>
    </row>
    <row r="1341" spans="1:8" ht="15.5" x14ac:dyDescent="0.35">
      <c r="A1341" s="4" t="s">
        <v>2907</v>
      </c>
      <c r="B1341" s="4">
        <v>1968</v>
      </c>
      <c r="C1341" s="4"/>
      <c r="D1341" s="9">
        <v>8</v>
      </c>
      <c r="E1341" s="10" t="s">
        <v>295</v>
      </c>
      <c r="F1341" s="4">
        <v>17</v>
      </c>
      <c r="G1341" s="4" t="s">
        <v>2921</v>
      </c>
      <c r="H1341" s="4" t="s">
        <v>2922</v>
      </c>
    </row>
    <row r="1342" spans="1:8" ht="15.5" x14ac:dyDescent="0.35">
      <c r="A1342" s="4" t="s">
        <v>2907</v>
      </c>
      <c r="B1342" s="4">
        <v>1969</v>
      </c>
      <c r="C1342" s="4"/>
      <c r="D1342" s="9">
        <v>5</v>
      </c>
      <c r="E1342" s="10" t="s">
        <v>105</v>
      </c>
      <c r="F1342" s="4">
        <v>1</v>
      </c>
      <c r="G1342" s="4" t="s">
        <v>2923</v>
      </c>
      <c r="H1342" s="4" t="s">
        <v>2924</v>
      </c>
    </row>
    <row r="1343" spans="1:8" ht="15.5" x14ac:dyDescent="0.35">
      <c r="A1343" s="4" t="s">
        <v>2907</v>
      </c>
      <c r="B1343" s="4">
        <v>1970</v>
      </c>
      <c r="C1343" s="4"/>
      <c r="D1343" s="9">
        <v>4</v>
      </c>
      <c r="E1343" s="10" t="s">
        <v>2925</v>
      </c>
      <c r="F1343" s="4">
        <v>4</v>
      </c>
      <c r="G1343" s="4" t="s">
        <v>2926</v>
      </c>
      <c r="H1343" s="4" t="s">
        <v>2927</v>
      </c>
    </row>
    <row r="1344" spans="1:8" ht="15.5" x14ac:dyDescent="0.35">
      <c r="A1344" s="4" t="s">
        <v>2907</v>
      </c>
      <c r="B1344" s="4">
        <v>1971</v>
      </c>
      <c r="C1344" s="4"/>
      <c r="D1344" s="9">
        <v>68</v>
      </c>
      <c r="E1344" s="10" t="s">
        <v>304</v>
      </c>
      <c r="F1344" s="4">
        <v>16</v>
      </c>
      <c r="G1344" s="4" t="s">
        <v>2928</v>
      </c>
      <c r="H1344" s="4" t="s">
        <v>2929</v>
      </c>
    </row>
    <row r="1345" spans="1:8" ht="15.5" x14ac:dyDescent="0.35">
      <c r="A1345" s="4" t="s">
        <v>2907</v>
      </c>
      <c r="B1345" s="4">
        <v>1972</v>
      </c>
      <c r="C1345" s="4"/>
      <c r="D1345" s="9">
        <v>87</v>
      </c>
      <c r="E1345" s="10" t="s">
        <v>147</v>
      </c>
      <c r="F1345" s="4">
        <v>13</v>
      </c>
      <c r="G1345" s="4" t="s">
        <v>1821</v>
      </c>
      <c r="H1345" s="4" t="s">
        <v>2930</v>
      </c>
    </row>
    <row r="1346" spans="1:8" ht="15.5" x14ac:dyDescent="0.35">
      <c r="A1346" s="4" t="s">
        <v>2907</v>
      </c>
      <c r="B1346" s="4">
        <v>1973</v>
      </c>
      <c r="C1346" s="4"/>
      <c r="D1346" s="9">
        <v>65</v>
      </c>
      <c r="E1346" s="10" t="s">
        <v>885</v>
      </c>
      <c r="F1346" s="4">
        <v>9</v>
      </c>
      <c r="G1346" s="4" t="s">
        <v>2931</v>
      </c>
      <c r="H1346" s="4" t="s">
        <v>2932</v>
      </c>
    </row>
    <row r="1347" spans="1:8" ht="15.5" x14ac:dyDescent="0.35">
      <c r="A1347" s="4" t="s">
        <v>2907</v>
      </c>
      <c r="B1347" s="4">
        <v>1974</v>
      </c>
      <c r="C1347" s="4"/>
      <c r="D1347" s="9">
        <v>6</v>
      </c>
      <c r="E1347" s="10" t="s">
        <v>750</v>
      </c>
      <c r="F1347" s="4">
        <v>7</v>
      </c>
      <c r="G1347" s="4" t="s">
        <v>2933</v>
      </c>
      <c r="H1347" s="4" t="s">
        <v>2934</v>
      </c>
    </row>
    <row r="1348" spans="1:8" ht="15.5" x14ac:dyDescent="0.35">
      <c r="A1348" s="4" t="s">
        <v>2907</v>
      </c>
      <c r="B1348" s="4">
        <v>1975</v>
      </c>
      <c r="C1348" s="4"/>
      <c r="D1348" s="9">
        <v>22</v>
      </c>
      <c r="E1348" s="10" t="s">
        <v>1065</v>
      </c>
      <c r="F1348" s="4">
        <v>8</v>
      </c>
      <c r="G1348" s="4" t="s">
        <v>2935</v>
      </c>
      <c r="H1348" s="4" t="s">
        <v>2936</v>
      </c>
    </row>
    <row r="1349" spans="1:8" ht="15.5" x14ac:dyDescent="0.35">
      <c r="A1349" s="4" t="s">
        <v>2907</v>
      </c>
      <c r="B1349" s="4">
        <v>1976</v>
      </c>
      <c r="C1349" s="4"/>
      <c r="D1349" s="9">
        <v>10</v>
      </c>
      <c r="E1349" s="10" t="s">
        <v>132</v>
      </c>
      <c r="F1349" s="4">
        <v>18</v>
      </c>
      <c r="G1349" s="4" t="s">
        <v>2937</v>
      </c>
      <c r="H1349" s="4" t="s">
        <v>2938</v>
      </c>
    </row>
    <row r="1350" spans="1:8" ht="15.5" x14ac:dyDescent="0.35">
      <c r="A1350" s="4" t="s">
        <v>2907</v>
      </c>
      <c r="B1350" s="4">
        <v>1981</v>
      </c>
      <c r="C1350" s="4"/>
      <c r="D1350" s="9">
        <v>35</v>
      </c>
      <c r="E1350" s="10" t="s">
        <v>135</v>
      </c>
      <c r="F1350" s="4">
        <v>7</v>
      </c>
      <c r="G1350" s="4" t="s">
        <v>2939</v>
      </c>
      <c r="H1350" s="4" t="s">
        <v>2940</v>
      </c>
    </row>
    <row r="1351" spans="1:8" ht="15.5" x14ac:dyDescent="0.35">
      <c r="A1351" s="4" t="s">
        <v>2907</v>
      </c>
      <c r="B1351" s="4">
        <v>1982</v>
      </c>
      <c r="C1351" s="4"/>
      <c r="D1351" s="9">
        <v>21</v>
      </c>
      <c r="E1351" s="10" t="s">
        <v>304</v>
      </c>
      <c r="F1351" s="4">
        <v>14</v>
      </c>
      <c r="G1351" s="4" t="s">
        <v>2941</v>
      </c>
      <c r="H1351" s="4" t="s">
        <v>2942</v>
      </c>
    </row>
    <row r="1352" spans="1:8" ht="15.5" x14ac:dyDescent="0.35">
      <c r="A1352" s="4" t="s">
        <v>2907</v>
      </c>
      <c r="B1352" s="4">
        <v>1983</v>
      </c>
      <c r="C1352" s="4"/>
      <c r="D1352" s="9">
        <v>125</v>
      </c>
      <c r="E1352" s="10" t="s">
        <v>1361</v>
      </c>
      <c r="F1352" s="4">
        <v>12</v>
      </c>
      <c r="G1352" s="4" t="s">
        <v>2943</v>
      </c>
      <c r="H1352" s="4" t="s">
        <v>2944</v>
      </c>
    </row>
    <row r="1353" spans="1:8" ht="15.5" x14ac:dyDescent="0.35">
      <c r="A1353" s="4" t="s">
        <v>2907</v>
      </c>
      <c r="B1353" s="4">
        <v>1984</v>
      </c>
      <c r="C1353" s="4"/>
      <c r="D1353" s="9">
        <v>26</v>
      </c>
      <c r="E1353" s="10" t="s">
        <v>138</v>
      </c>
      <c r="F1353" s="4">
        <v>12</v>
      </c>
      <c r="G1353" s="4" t="s">
        <v>2945</v>
      </c>
      <c r="H1353" s="4" t="s">
        <v>2946</v>
      </c>
    </row>
    <row r="1354" spans="1:8" ht="15.5" x14ac:dyDescent="0.35">
      <c r="A1354" s="4" t="s">
        <v>2907</v>
      </c>
      <c r="B1354" s="4">
        <v>1986</v>
      </c>
      <c r="C1354" s="4"/>
      <c r="D1354" s="9">
        <v>49</v>
      </c>
      <c r="E1354" s="10" t="s">
        <v>626</v>
      </c>
      <c r="F1354" s="4">
        <v>2</v>
      </c>
      <c r="G1354" s="4" t="s">
        <v>480</v>
      </c>
      <c r="H1354" s="4" t="s">
        <v>2947</v>
      </c>
    </row>
    <row r="1355" spans="1:8" ht="15.5" x14ac:dyDescent="0.35">
      <c r="A1355" s="4" t="s">
        <v>2907</v>
      </c>
      <c r="B1355" s="4">
        <v>1987</v>
      </c>
      <c r="C1355" s="4"/>
      <c r="D1355" s="9">
        <v>92</v>
      </c>
      <c r="E1355" s="10" t="s">
        <v>1265</v>
      </c>
      <c r="F1355" s="4">
        <v>21</v>
      </c>
      <c r="G1355" s="4" t="s">
        <v>2948</v>
      </c>
      <c r="H1355" s="4" t="s">
        <v>2949</v>
      </c>
    </row>
    <row r="1356" spans="1:8" ht="15.5" x14ac:dyDescent="0.35">
      <c r="A1356" s="4" t="s">
        <v>2907</v>
      </c>
      <c r="B1356" s="4">
        <v>1988</v>
      </c>
      <c r="C1356" s="4"/>
      <c r="D1356" s="9">
        <v>87</v>
      </c>
      <c r="E1356" s="10" t="s">
        <v>2950</v>
      </c>
      <c r="F1356" s="4">
        <v>21</v>
      </c>
      <c r="G1356" s="4" t="s">
        <v>2951</v>
      </c>
      <c r="H1356" s="4" t="s">
        <v>2952</v>
      </c>
    </row>
    <row r="1357" spans="1:8" ht="15.5" x14ac:dyDescent="0.35">
      <c r="A1357" s="4" t="s">
        <v>2907</v>
      </c>
      <c r="B1357" s="4">
        <v>1989</v>
      </c>
      <c r="C1357" s="4"/>
      <c r="D1357" s="9">
        <v>137</v>
      </c>
      <c r="E1357" s="10" t="s">
        <v>1364</v>
      </c>
      <c r="F1357" s="4">
        <v>22</v>
      </c>
      <c r="G1357" s="4" t="s">
        <v>2953</v>
      </c>
      <c r="H1357" s="4" t="s">
        <v>2954</v>
      </c>
    </row>
    <row r="1358" spans="1:8" ht="15.5" x14ac:dyDescent="0.35">
      <c r="A1358" s="4" t="s">
        <v>2907</v>
      </c>
      <c r="B1358" s="4">
        <v>1990</v>
      </c>
      <c r="C1358" s="4"/>
      <c r="D1358" s="9">
        <v>81</v>
      </c>
      <c r="E1358" s="10" t="s">
        <v>524</v>
      </c>
      <c r="F1358" s="4">
        <v>15</v>
      </c>
      <c r="G1358" s="4" t="s">
        <v>2955</v>
      </c>
      <c r="H1358" s="4" t="s">
        <v>2956</v>
      </c>
    </row>
    <row r="1359" spans="1:8" ht="15.5" x14ac:dyDescent="0.35">
      <c r="A1359" s="4" t="s">
        <v>2907</v>
      </c>
      <c r="B1359" s="4">
        <v>1991</v>
      </c>
      <c r="C1359" s="4"/>
      <c r="D1359" s="9">
        <v>1</v>
      </c>
      <c r="E1359" s="10" t="s">
        <v>804</v>
      </c>
      <c r="F1359" s="4">
        <v>1</v>
      </c>
      <c r="G1359" s="4" t="s">
        <v>2957</v>
      </c>
      <c r="H1359" s="4" t="s">
        <v>2958</v>
      </c>
    </row>
    <row r="1360" spans="1:8" ht="15.5" x14ac:dyDescent="0.35">
      <c r="A1360" s="4" t="s">
        <v>2907</v>
      </c>
      <c r="B1360" s="4">
        <v>1992</v>
      </c>
      <c r="C1360" s="4"/>
      <c r="D1360" s="9">
        <v>44</v>
      </c>
      <c r="E1360" s="10" t="s">
        <v>181</v>
      </c>
      <c r="F1360" s="4">
        <v>20</v>
      </c>
      <c r="G1360" s="4" t="s">
        <v>2959</v>
      </c>
      <c r="H1360" s="4" t="s">
        <v>2960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A16" sqref="A16"/>
    </sheetView>
  </sheetViews>
  <sheetFormatPr defaultRowHeight="14.5" x14ac:dyDescent="0.35"/>
  <cols>
    <col min="1" max="1" width="58" bestFit="1" customWidth="1"/>
    <col min="2" max="2" width="14.36328125" bestFit="1" customWidth="1"/>
  </cols>
  <sheetData>
    <row r="1" spans="1:3" ht="21" x14ac:dyDescent="0.5">
      <c r="A1" s="12" t="s">
        <v>2985</v>
      </c>
    </row>
    <row r="3" spans="1:3" ht="15.5" x14ac:dyDescent="0.35">
      <c r="A3" s="3" t="s">
        <v>2979</v>
      </c>
      <c r="B3" s="4">
        <f>COUNTA(DataSet!A:A)-1</f>
        <v>1359</v>
      </c>
      <c r="C3" s="4"/>
    </row>
    <row r="4" spans="1:3" ht="15.5" x14ac:dyDescent="0.35">
      <c r="A4" s="3" t="s">
        <v>2980</v>
      </c>
      <c r="B4" s="4">
        <f>SUMPRODUCT(1/COUNTIF(DataSet!A2:A1360,DataSet!A2:A1360))</f>
        <v>51.000000000000263</v>
      </c>
      <c r="C4" s="4"/>
    </row>
    <row r="5" spans="1:3" ht="15.5" x14ac:dyDescent="0.35">
      <c r="A5" s="3" t="s">
        <v>2981</v>
      </c>
      <c r="B5" s="7">
        <f>AVERAGEIF(DataSet!C2:C1360,"F",DataSet!D2:D1360)</f>
        <v>123.8859649122807</v>
      </c>
      <c r="C5" s="4"/>
    </row>
    <row r="6" spans="1:3" ht="15.5" x14ac:dyDescent="0.35">
      <c r="A6" s="3" t="s">
        <v>2982</v>
      </c>
      <c r="B6" s="4">
        <f>COUNTIF(DataSet!D2:D1360,"&gt;300")</f>
        <v>38</v>
      </c>
      <c r="C6" s="4"/>
    </row>
    <row r="7" spans="1:3" ht="15.5" x14ac:dyDescent="0.35">
      <c r="A7" s="3" t="s">
        <v>2987</v>
      </c>
      <c r="B7" s="7">
        <f>AVERAGEIFS(DataSet!D2:D1360,DataSet!B2:B1360,"&lt;2000")</f>
        <v>46.481389578163771</v>
      </c>
      <c r="C7" s="7"/>
    </row>
    <row r="8" spans="1:3" ht="15.5" x14ac:dyDescent="0.35">
      <c r="A8" s="3" t="s">
        <v>2986</v>
      </c>
      <c r="B8" s="7">
        <f>AVERAGEIFS(DataSet!D2:D1360,DataSet!B2:B1360,"&gt;=2000")</f>
        <v>112.32911392405063</v>
      </c>
      <c r="C8" s="7"/>
    </row>
    <row r="9" spans="1:3" ht="15.5" x14ac:dyDescent="0.35">
      <c r="A9" s="3" t="s">
        <v>2988</v>
      </c>
      <c r="B9" s="7">
        <f>B8-B7</f>
        <v>65.84772434588686</v>
      </c>
      <c r="C9" s="7"/>
    </row>
    <row r="10" spans="1:3" ht="15.5" x14ac:dyDescent="0.35">
      <c r="A10" s="3" t="s">
        <v>2983</v>
      </c>
      <c r="B10" s="4">
        <f>COUNTIFS(DataSet!A2:A1360,"Ukraine",DataSet!E2:E1360,"1 *") +COUNTIFS(DataSet!A2:A1360,"Ukraine",DataSet!E2:E1360,"2 *") +COUNTIFS(DataSet!A2:A1360,"Ukraine",DataSet!E2:E1360,"3 *") +COUNTIFS(DataSet!A2:A1360,"Ukraine",DataSet!E2:E1360,"4 *") +COUNTIFS(DataSet!A2:A1360,"Ukraine",DataSet!E2:E1360,"5 *")</f>
        <v>8</v>
      </c>
      <c r="C10" s="4"/>
    </row>
    <row r="11" spans="1:3" ht="15.5" x14ac:dyDescent="0.35">
      <c r="A11" s="3" t="s">
        <v>2984</v>
      </c>
      <c r="B11" s="4" t="str">
        <f>INDEX(DataSet!H2:H1360,MATCH(MAX(DataSet!D2:D1360),DataSet!D2:D1360,0))</f>
        <v>Amar Pelos Dois</v>
      </c>
      <c r="C11" s="4"/>
    </row>
    <row r="12" spans="1:3" ht="15.5" x14ac:dyDescent="0.35">
      <c r="A12" s="3" t="s">
        <v>2989</v>
      </c>
      <c r="B12" s="4" t="str">
        <f>INDEX(DataSet!A2:A1360,MATCH(MAX(DataSet!D2:D1360),DataSet!D2:D1360,0))</f>
        <v>Portugal</v>
      </c>
      <c r="C12" s="4"/>
    </row>
    <row r="13" spans="1:3" ht="15.5" x14ac:dyDescent="0.35">
      <c r="A13" s="3" t="s">
        <v>2990</v>
      </c>
      <c r="B13" s="4">
        <f>INDEX(DataSet!B2:B1360,MATCH(MAX(DataSet!D2:D1360),DataSet!D2:D1360,0))</f>
        <v>2017</v>
      </c>
      <c r="C13" s="4"/>
    </row>
    <row r="14" spans="1:3" ht="15.5" x14ac:dyDescent="0.35">
      <c r="A14" s="3" t="s">
        <v>2991</v>
      </c>
      <c r="B14" s="11">
        <f>COUNTIF(DataSet!D2:D1360,"&gt;200")/COUNTA(DataSet!D2:D1360)</f>
        <v>6.3281824871228839E-2</v>
      </c>
      <c r="C14" s="4"/>
    </row>
    <row r="15" spans="1:3" ht="15.5" x14ac:dyDescent="0.35">
      <c r="A15" s="3" t="s">
        <v>2992</v>
      </c>
      <c r="B15" s="9">
        <f>COUNTIF(DataSet!D2:D1360,0)</f>
        <v>37</v>
      </c>
      <c r="C15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W38"/>
  <sheetViews>
    <sheetView tabSelected="1" workbookViewId="0">
      <selection activeCell="D15" sqref="D15"/>
    </sheetView>
  </sheetViews>
  <sheetFormatPr defaultRowHeight="15.5" x14ac:dyDescent="0.35"/>
  <cols>
    <col min="1" max="1" width="16.7265625" style="4" customWidth="1"/>
    <col min="2" max="2" width="25.36328125" style="4" customWidth="1"/>
    <col min="3" max="3" width="4.08984375" style="4" customWidth="1"/>
    <col min="4" max="5" width="2.81640625" style="4" customWidth="1"/>
    <col min="6" max="6" width="16.7265625" style="4" customWidth="1"/>
    <col min="7" max="7" width="30" style="4" customWidth="1"/>
    <col min="8" max="10" width="3.81640625" style="4" customWidth="1"/>
    <col min="11" max="11" width="16.7265625" style="4" customWidth="1"/>
    <col min="12" max="12" width="30.08984375" style="4" customWidth="1"/>
    <col min="13" max="13" width="8.1796875" style="4" customWidth="1"/>
    <col min="14" max="16" width="3.81640625" style="4" customWidth="1"/>
    <col min="17" max="17" width="16.7265625" style="4" customWidth="1"/>
    <col min="18" max="18" width="22.1796875" style="4" customWidth="1"/>
    <col min="19" max="21" width="3.81640625" style="4" customWidth="1"/>
    <col min="22" max="22" width="16.7265625" style="4" customWidth="1"/>
    <col min="23" max="23" width="26.36328125" style="4" customWidth="1"/>
    <col min="24" max="60" width="3.81640625" style="4" customWidth="1"/>
    <col min="61" max="61" width="2.81640625" style="4" customWidth="1"/>
    <col min="62" max="96" width="3.81640625" style="4" customWidth="1"/>
    <col min="97" max="97" width="2.81640625" style="4" customWidth="1"/>
    <col min="98" max="100" width="3.81640625" style="4" customWidth="1"/>
    <col min="101" max="101" width="2.81640625" style="4" customWidth="1"/>
    <col min="102" max="107" width="3.81640625" style="4" customWidth="1"/>
    <col min="108" max="108" width="4.81640625" style="4" customWidth="1"/>
    <col min="109" max="126" width="3.81640625" style="4" customWidth="1"/>
    <col min="127" max="127" width="4.81640625" style="4" customWidth="1"/>
    <col min="128" max="128" width="3.81640625" style="4" customWidth="1"/>
    <col min="129" max="129" width="4.81640625" style="4" customWidth="1"/>
    <col min="130" max="166" width="3.81640625" style="4" customWidth="1"/>
    <col min="167" max="167" width="4.81640625" style="4" customWidth="1"/>
    <col min="168" max="260" width="3.81640625" style="4" customWidth="1"/>
    <col min="261" max="261" width="11.1796875" style="4" bestFit="1" customWidth="1"/>
    <col min="262" max="16384" width="8.7265625" style="4"/>
  </cols>
  <sheetData>
    <row r="12" spans="1:23" x14ac:dyDescent="0.35">
      <c r="A12" s="3" t="s">
        <v>2965</v>
      </c>
      <c r="F12" s="3" t="s">
        <v>2978</v>
      </c>
      <c r="K12" s="3" t="s">
        <v>2967</v>
      </c>
    </row>
    <row r="13" spans="1:23" x14ac:dyDescent="0.35">
      <c r="A13" s="5" t="s">
        <v>2961</v>
      </c>
      <c r="B13" s="4" t="s">
        <v>2964</v>
      </c>
      <c r="F13" s="5" t="s">
        <v>2961</v>
      </c>
      <c r="G13" s="4" t="s">
        <v>2963</v>
      </c>
      <c r="K13" s="5" t="s">
        <v>2961</v>
      </c>
      <c r="L13" s="4" t="s">
        <v>2963</v>
      </c>
    </row>
    <row r="14" spans="1:23" x14ac:dyDescent="0.35">
      <c r="A14" s="6" t="s">
        <v>453</v>
      </c>
      <c r="B14" s="7">
        <v>283</v>
      </c>
      <c r="F14" s="6" t="s">
        <v>2975</v>
      </c>
      <c r="G14" s="8">
        <v>31</v>
      </c>
      <c r="K14" s="6" t="s">
        <v>2778</v>
      </c>
      <c r="L14" s="8">
        <v>64</v>
      </c>
      <c r="Q14" s="6"/>
      <c r="R14" s="7"/>
      <c r="V14" s="6"/>
      <c r="W14" s="8"/>
    </row>
    <row r="15" spans="1:23" x14ac:dyDescent="0.35">
      <c r="A15" s="6" t="s">
        <v>71</v>
      </c>
      <c r="B15" s="7">
        <v>231.33333333333334</v>
      </c>
      <c r="F15" s="6" t="s">
        <v>2974</v>
      </c>
      <c r="G15" s="8">
        <v>163</v>
      </c>
      <c r="K15" s="6" t="s">
        <v>1006</v>
      </c>
      <c r="L15" s="8">
        <v>64</v>
      </c>
      <c r="Q15" s="6"/>
      <c r="R15" s="7"/>
      <c r="V15" s="6"/>
      <c r="W15" s="8"/>
    </row>
    <row r="16" spans="1:23" x14ac:dyDescent="0.35">
      <c r="A16" s="6" t="s">
        <v>2303</v>
      </c>
      <c r="B16" s="7">
        <v>200</v>
      </c>
      <c r="F16" s="6" t="s">
        <v>2973</v>
      </c>
      <c r="G16" s="8">
        <v>176</v>
      </c>
      <c r="K16" s="6" t="s">
        <v>845</v>
      </c>
      <c r="L16" s="8">
        <v>63</v>
      </c>
      <c r="Q16" s="6"/>
      <c r="R16" s="7"/>
      <c r="V16" s="6"/>
      <c r="W16" s="8"/>
    </row>
    <row r="17" spans="1:23" x14ac:dyDescent="0.35">
      <c r="A17" s="6" t="s">
        <v>2747</v>
      </c>
      <c r="B17" s="7">
        <v>198.8235294117647</v>
      </c>
      <c r="F17" s="6" t="s">
        <v>2972</v>
      </c>
      <c r="G17" s="8">
        <v>200</v>
      </c>
      <c r="K17" s="6" t="s">
        <v>2344</v>
      </c>
      <c r="L17" s="8">
        <v>61</v>
      </c>
      <c r="Q17" s="6"/>
      <c r="R17" s="7"/>
      <c r="V17" s="6"/>
      <c r="W17" s="8"/>
    </row>
    <row r="18" spans="1:23" x14ac:dyDescent="0.35">
      <c r="A18" s="6" t="s">
        <v>2233</v>
      </c>
      <c r="B18" s="7">
        <v>160.45454545454547</v>
      </c>
      <c r="F18" s="6" t="s">
        <v>2971</v>
      </c>
      <c r="G18" s="8">
        <v>236</v>
      </c>
      <c r="K18" s="6" t="s">
        <v>2466</v>
      </c>
      <c r="L18" s="8">
        <v>60</v>
      </c>
      <c r="Q18" s="6"/>
      <c r="R18" s="7"/>
      <c r="V18" s="6"/>
      <c r="W18" s="8"/>
    </row>
    <row r="19" spans="1:23" x14ac:dyDescent="0.35">
      <c r="A19" s="6" t="s">
        <v>221</v>
      </c>
      <c r="B19" s="7">
        <v>144.69230769230768</v>
      </c>
      <c r="F19" s="6" t="s">
        <v>2970</v>
      </c>
      <c r="G19" s="8">
        <v>243</v>
      </c>
      <c r="K19" s="6" t="s">
        <v>1964</v>
      </c>
      <c r="L19" s="8">
        <v>57</v>
      </c>
      <c r="Q19" s="6"/>
      <c r="R19" s="7"/>
      <c r="V19" s="6"/>
      <c r="W19" s="8"/>
    </row>
    <row r="20" spans="1:23" x14ac:dyDescent="0.35">
      <c r="A20" s="6" t="s">
        <v>2281</v>
      </c>
      <c r="B20" s="7">
        <v>143.90909090909091</v>
      </c>
      <c r="F20" s="6" t="s">
        <v>2969</v>
      </c>
      <c r="G20" s="8">
        <v>259</v>
      </c>
      <c r="K20" s="6" t="s">
        <v>272</v>
      </c>
      <c r="L20" s="8">
        <v>52</v>
      </c>
      <c r="Q20" s="6"/>
      <c r="R20" s="7"/>
      <c r="V20" s="6"/>
      <c r="W20" s="8"/>
    </row>
    <row r="21" spans="1:23" x14ac:dyDescent="0.35">
      <c r="A21" s="6" t="s">
        <v>1780</v>
      </c>
      <c r="B21" s="7">
        <v>131.25</v>
      </c>
      <c r="F21" s="6" t="s">
        <v>2968</v>
      </c>
      <c r="G21" s="8">
        <v>51</v>
      </c>
      <c r="K21" s="6" t="s">
        <v>1857</v>
      </c>
      <c r="L21" s="8">
        <v>52</v>
      </c>
      <c r="Q21" s="6"/>
      <c r="R21" s="7"/>
      <c r="V21" s="6"/>
      <c r="W21" s="8"/>
    </row>
    <row r="22" spans="1:23" x14ac:dyDescent="0.35">
      <c r="A22" s="6" t="s">
        <v>580</v>
      </c>
      <c r="B22" s="7">
        <v>129.25</v>
      </c>
      <c r="F22" s="6" t="s">
        <v>2962</v>
      </c>
      <c r="G22" s="8">
        <v>1359</v>
      </c>
      <c r="K22" s="6" t="s">
        <v>2584</v>
      </c>
      <c r="L22" s="8">
        <v>50</v>
      </c>
      <c r="Q22" s="6"/>
      <c r="R22" s="7"/>
      <c r="V22" s="6"/>
      <c r="W22" s="8"/>
    </row>
    <row r="23" spans="1:23" x14ac:dyDescent="0.35">
      <c r="A23" s="6" t="s">
        <v>39</v>
      </c>
      <c r="B23" s="7">
        <v>121.54545454545455</v>
      </c>
      <c r="K23" s="6" t="s">
        <v>89</v>
      </c>
      <c r="L23" s="8">
        <v>47</v>
      </c>
      <c r="V23" s="6"/>
      <c r="W23" s="8"/>
    </row>
    <row r="24" spans="1:23" x14ac:dyDescent="0.35">
      <c r="A24" s="6" t="s">
        <v>2962</v>
      </c>
      <c r="B24" s="7">
        <v>165.10679611650485</v>
      </c>
      <c r="K24" s="6" t="s">
        <v>736</v>
      </c>
      <c r="L24" s="8">
        <v>47</v>
      </c>
      <c r="V24" s="6"/>
      <c r="W24" s="8"/>
    </row>
    <row r="25" spans="1:23" x14ac:dyDescent="0.35">
      <c r="K25" s="6" t="s">
        <v>2962</v>
      </c>
      <c r="L25" s="8">
        <v>617</v>
      </c>
      <c r="V25" s="6"/>
      <c r="W25" s="8"/>
    </row>
    <row r="26" spans="1:23" x14ac:dyDescent="0.35">
      <c r="V26" s="6"/>
      <c r="W26" s="8"/>
    </row>
    <row r="28" spans="1:23" x14ac:dyDescent="0.35">
      <c r="A28" s="3" t="s">
        <v>2976</v>
      </c>
      <c r="B28" s="3"/>
      <c r="F28" s="3" t="s">
        <v>2966</v>
      </c>
    </row>
    <row r="29" spans="1:23" x14ac:dyDescent="0.35">
      <c r="A29" s="5" t="s">
        <v>2961</v>
      </c>
      <c r="B29" s="4" t="s">
        <v>2977</v>
      </c>
      <c r="F29" s="5" t="s">
        <v>2961</v>
      </c>
      <c r="G29" s="4" t="s">
        <v>2964</v>
      </c>
    </row>
    <row r="30" spans="1:23" x14ac:dyDescent="0.35">
      <c r="A30" s="6" t="s">
        <v>2270</v>
      </c>
      <c r="B30" s="8">
        <v>861</v>
      </c>
      <c r="F30" s="6" t="s">
        <v>2975</v>
      </c>
      <c r="G30" s="7">
        <v>10</v>
      </c>
    </row>
    <row r="31" spans="1:23" x14ac:dyDescent="0.35">
      <c r="A31" s="6" t="s">
        <v>2186</v>
      </c>
      <c r="B31" s="8">
        <v>758</v>
      </c>
      <c r="F31" s="6" t="s">
        <v>2974</v>
      </c>
      <c r="G31" s="7">
        <v>9.779141104294478</v>
      </c>
    </row>
    <row r="32" spans="1:23" x14ac:dyDescent="0.35">
      <c r="A32" s="6" t="s">
        <v>2777</v>
      </c>
      <c r="B32" s="8">
        <v>631</v>
      </c>
      <c r="F32" s="6" t="s">
        <v>2973</v>
      </c>
      <c r="G32" s="7">
        <v>58.363636363636367</v>
      </c>
    </row>
    <row r="33" spans="1:7" x14ac:dyDescent="0.35">
      <c r="A33" s="6" t="s">
        <v>459</v>
      </c>
      <c r="B33" s="8">
        <v>615</v>
      </c>
      <c r="F33" s="6" t="s">
        <v>2972</v>
      </c>
      <c r="G33" s="7">
        <v>58</v>
      </c>
    </row>
    <row r="34" spans="1:7" x14ac:dyDescent="0.35">
      <c r="A34" s="6" t="s">
        <v>2770</v>
      </c>
      <c r="B34" s="8">
        <v>534</v>
      </c>
      <c r="F34" s="6" t="s">
        <v>2971</v>
      </c>
      <c r="G34" s="7">
        <v>58</v>
      </c>
    </row>
    <row r="35" spans="1:7" x14ac:dyDescent="0.35">
      <c r="A35" s="6" t="s">
        <v>2962</v>
      </c>
      <c r="B35" s="8">
        <v>3399</v>
      </c>
      <c r="F35" s="6" t="s">
        <v>2970</v>
      </c>
      <c r="G35" s="7">
        <v>80.436213991769549</v>
      </c>
    </row>
    <row r="36" spans="1:7" x14ac:dyDescent="0.35">
      <c r="F36" s="6" t="s">
        <v>2969</v>
      </c>
      <c r="G36" s="7">
        <v>128.98841698841699</v>
      </c>
    </row>
    <row r="37" spans="1:7" x14ac:dyDescent="0.35">
      <c r="F37" s="6" t="s">
        <v>2968</v>
      </c>
      <c r="G37" s="7">
        <v>179.68627450980392</v>
      </c>
    </row>
    <row r="38" spans="1:7" x14ac:dyDescent="0.35">
      <c r="F38" s="6" t="s">
        <v>2962</v>
      </c>
      <c r="G38" s="7">
        <v>73.275938189845476</v>
      </c>
    </row>
  </sheetData>
  <conditionalFormatting sqref="A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4:B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6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activeCell="H13" sqref="H13"/>
    </sheetView>
  </sheetViews>
  <sheetFormatPr defaultRowHeight="15.5" x14ac:dyDescent="0.35"/>
  <cols>
    <col min="1" max="16384" width="8.7265625" style="4"/>
  </cols>
  <sheetData>
    <row r="1" spans="1:11" x14ac:dyDescent="0.35">
      <c r="A1" s="3" t="s">
        <v>2965</v>
      </c>
      <c r="B1" s="3"/>
      <c r="C1" s="3"/>
      <c r="D1" s="3"/>
      <c r="I1" s="3" t="s">
        <v>2978</v>
      </c>
      <c r="J1" s="3"/>
      <c r="K1" s="3"/>
    </row>
    <row r="20" spans="1:12" x14ac:dyDescent="0.35">
      <c r="A20" s="3" t="s">
        <v>2967</v>
      </c>
      <c r="B20" s="3"/>
      <c r="C20" s="3"/>
      <c r="D20" s="3"/>
      <c r="E20" s="3"/>
      <c r="I20" s="3" t="s">
        <v>2966</v>
      </c>
      <c r="J20" s="3"/>
      <c r="K20" s="3"/>
      <c r="L20" s="3"/>
    </row>
    <row r="41" spans="1:4" x14ac:dyDescent="0.35">
      <c r="A41" s="3" t="s">
        <v>2976</v>
      </c>
      <c r="B41" s="3"/>
      <c r="C41" s="3"/>
      <c r="D41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DataSet</vt:lpstr>
      <vt:lpstr>Analysis</vt:lpstr>
      <vt:lpstr>PivotTables</vt:lpstr>
      <vt:lpstr>Charts</vt:lpstr>
      <vt:lpstr>DataSet!Eurovision_AllFinals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</dc:creator>
  <cp:lastModifiedBy>Арт</cp:lastModifiedBy>
  <dcterms:created xsi:type="dcterms:W3CDTF">2026-05-16T12:57:47Z</dcterms:created>
  <dcterms:modified xsi:type="dcterms:W3CDTF">2026-05-26T12:13:35Z</dcterms:modified>
</cp:coreProperties>
</file>